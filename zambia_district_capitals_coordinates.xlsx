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ade4c09b0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Coordinates" sheetId="1" r:id="R0b957c300d104ad1"/>
    <x:sheet xmlns:r="http://schemas.openxmlformats.org/officeDocument/2006/relationships" name="Province Summary" sheetId="2" r:id="Ra0cac9643aac4272"/>
    <x:sheet xmlns:r="http://schemas.openxmlformats.org/officeDocument/2006/relationships" name="Methodology" sheetId="3" r:id="Rcf356c546041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10b68321a47b8" /><Relationship Type="http://schemas.openxmlformats.org/officeDocument/2006/relationships/theme" Target="/xl/theme/theme1.xml" Id="R709da992bc6a4fc2" /><Relationship Type="http://schemas.openxmlformats.org/officeDocument/2006/relationships/sharedStrings" Target="/xl/sharedStrings.xml" Id="Rcf0086ca79bd4cc5" /><Relationship Type="http://schemas.openxmlformats.org/officeDocument/2006/relationships/worksheet" Target="/xl/worksheets/sheet1.xml" Id="R0b957c300d104ad1" /><Relationship Type="http://schemas.openxmlformats.org/officeDocument/2006/relationships/worksheet" Target="/xl/worksheets/sheet2.xml" Id="Ra0cac9643aac4272" /><Relationship Type="http://schemas.openxmlformats.org/officeDocument/2006/relationships/worksheet" Target="/xl/worksheets/sheet3.xml" Id="Rcf356c54604145c3" /></Relationships>
</file>

<file path=xl/tables/table1.xml><?xml version="1.0" encoding="utf-8"?>
<x:table xmlns:x="http://schemas.openxmlformats.org/spreadsheetml/2006/main" id="1" name="ZambiaDistrictCapitals" displayName="ZambiaDistrictCapitals" ref="A1:L117" headerRowCount="1">
  <x:tableColumns count="12">
    <x:tableColumn id="1" name="Province"/>
    <x:tableColumn id="2" name="District"/>
    <x:tableColumn id="3" name="Administrative Centre"/>
    <x:tableColumn id="4" name="Latitude"/>
    <x:tableColumn id="5" name="Longitude"/>
    <x:tableColumn id="6" name="GPS Coordinate"/>
    <x:tableColumn id="7" name="Google Maps URL"/>
    <x:tableColumn id="8" name="CRS"/>
    <x:tableColumn id="9" name="Point Type"/>
    <x:tableColumn id="10" name="Verification"/>
    <x:tableColumn id="11" name="Notes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ProvinceDistrictSummary" displayName="ProvinceDistrictSummary" ref="A1:D11" headerRowCount="1">
  <x:tableColumns count="4">
    <x:tableColumn id="1" name="Province"/>
    <x:tableColumn id="2" name="Number of Districts"/>
    <x:tableColumn id="3" name="Town/Admin Points"/>
    <x:tableColumn id="4" name="Reference Centro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80d067eecc49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c8979997d04c2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3" hidden="0" customWidth="1"/>
    <x:col min="5" max="5" width="13" hidden="0" customWidth="1"/>
    <x:col min="6" max="6" width="23" hidden="0" customWidth="1"/>
    <x:col min="7" max="7" width="42" hidden="0" customWidth="1"/>
    <x:col min="8" max="8" width="20" hidden="0" customWidth="1"/>
    <x:col min="9" max="9" width="28" hidden="0" customWidth="1"/>
    <x:col min="10" max="10" width="34" hidden="0" customWidth="1"/>
    <x:col min="11" max="11" width="48" hidden="0" customWidth="1"/>
    <x:col min="12" max="12" width="46" hidden="0" customWidth="1"/>
  </x:cols>
  <x:sheetData>
    <x:row r="1" ht="32" customHeight="1">
      <x:c r="A1" s="6" t="str">
        <x:v>Province</x:v>
      </x:c>
      <x:c r="B1" s="6" t="str">
        <x:v>District</x:v>
      </x:c>
      <x:c r="C1" s="6" t="str">
        <x:v>Administrative Centre</x:v>
      </x:c>
      <x:c r="D1" s="6" t="str">
        <x:v>Latitude</x:v>
      </x:c>
      <x:c r="E1" s="6" t="str">
        <x:v>Longitude</x:v>
      </x:c>
      <x:c r="F1" s="6" t="str">
        <x:v>GPS Coordinate</x:v>
      </x:c>
      <x:c r="G1" s="6" t="str">
        <x:v>Google Maps URL</x:v>
      </x:c>
      <x:c r="H1" s="6" t="str">
        <x:v>CRS</x:v>
      </x:c>
      <x:c r="I1" s="6" t="str">
        <x:v>Point Type</x:v>
      </x:c>
      <x:c r="J1" s="6" t="str">
        <x:v>Verification</x:v>
      </x:c>
      <x:c r="K1" s="6" t="str">
        <x:v>Notes</x:v>
      </x:c>
      <x:c r="L1" s="6" t="str">
        <x:v>Source URL</x:v>
      </x:c>
    </x:row>
    <x:row r="2">
      <x:c r="A2" s="14" t="str">
        <x:v>Central</x:v>
      </x:c>
      <x:c r="B2" s="14" t="str">
        <x:v>Chibombo</x:v>
      </x:c>
      <x:c r="C2" s="14" t="str">
        <x:v>Chibombo</x:v>
      </x:c>
      <x:c r="D2" s="16" t="n">
        <x:v>-14.65808</x:v>
      </x:c>
      <x:c r="E2" s="16" t="n">
        <x:v>28.07376</x:v>
      </x:c>
      <x:c r="F2" s="14" t="str">
        <x:f>TEXT(D2,"0.000000")&amp;", "&amp;TEXT(E2,"0.000000")</x:f>
        <x:v>-14.658080, 28.073760</x:v>
      </x:c>
      <x:c r="G2" s="14" t="str">
        <x:f>"https://www.google.com/maps?q="&amp;TEXT(D2,"0.000000")&amp;","&amp;TEXT(E2,"0.000000")</x:f>
        <x:v>https://www.google.com/maps?q=-14.658080,28.073760</x:v>
      </x:c>
      <x:c r="H2" s="14" t="str">
        <x:v>WGS 84 / EPSG:4326</x:v>
      </x:c>
      <x:c r="I2" s="14" t="str">
        <x:v>District reference centroid</x:v>
      </x:c>
      <x:c r="J2" s="14" t="str">
        <x:v>Reference only—field verification recommended</x:v>
      </x:c>
      <x:c r="K2" s="14" t="str">
        <x:v>This is a district-level reference point, not a confirmed civic-centre or council-office entrance.</x:v>
      </x:c>
      <x:c r="L2" s="14" t="str">
        <x:v>https://github.com/repoxbeta/repox-countries/tree/main/src/metadata/countries/zm</x:v>
      </x:c>
    </x:row>
    <x:row r="3">
      <x:c r="A3" s="14" t="str">
        <x:v>Central</x:v>
      </x:c>
      <x:c r="B3" s="14" t="str">
        <x:v>Chisamba</x:v>
      </x:c>
      <x:c r="C3" s="14" t="str">
        <x:v>Chisamba</x:v>
      </x:c>
      <x:c r="D3" s="16" t="n">
        <x:v>-14.83074</x:v>
      </x:c>
      <x:c r="E3" s="16" t="n">
        <x:v>28.56539</x:v>
      </x:c>
      <x:c r="F3" s="14" t="str">
        <x:f>TEXT(D3,"0.000000")&amp;", "&amp;TEXT(E3,"0.000000")</x:f>
        <x:v>-14.830740, 28.565390</x:v>
      </x:c>
      <x:c r="G3" s="14" t="str">
        <x:f>"https://www.google.com/maps?q="&amp;TEXT(D3,"0.000000")&amp;","&amp;TEXT(E3,"0.000000")</x:f>
        <x:v>https://www.google.com/maps?q=-14.830740,28.565390</x:v>
      </x:c>
      <x:c r="H3" s="14" t="str">
        <x:v>WGS 84 / EPSG:4326</x:v>
      </x:c>
      <x:c r="I3" s="14" t="str">
        <x:v>District reference centroid</x:v>
      </x:c>
      <x:c r="J3" s="14" t="str">
        <x:v>Reference only—field verification recommended</x:v>
      </x:c>
      <x:c r="K3" s="14" t="str">
        <x:v>This is a district-level reference point, not a confirmed civic-centre or council-office entrance.</x:v>
      </x:c>
      <x:c r="L3" s="14" t="str">
        <x:v>https://github.com/repoxbeta/repox-countries/tree/main/src/metadata/countries/zm</x:v>
      </x:c>
    </x:row>
    <x:row r="4">
      <x:c r="A4" s="14" t="str">
        <x:v>Central</x:v>
      </x:c>
      <x:c r="B4" s="14" t="str">
        <x:v>Chitambo</x:v>
      </x:c>
      <x:c r="C4" s="14" t="str">
        <x:v>Chitambo</x:v>
      </x:c>
      <x:c r="D4" s="16" t="n">
        <x:v>-12.8636</x:v>
      </x:c>
      <x:c r="E4" s="16" t="n">
        <x:v>30.56715</x:v>
      </x:c>
      <x:c r="F4" s="14" t="str">
        <x:f>TEXT(D4,"0.000000")&amp;", "&amp;TEXT(E4,"0.000000")</x:f>
        <x:v>-12.863600, 30.567150</x:v>
      </x:c>
      <x:c r="G4" s="14" t="str">
        <x:f>"https://www.google.com/maps?q="&amp;TEXT(D4,"0.000000")&amp;","&amp;TEXT(E4,"0.000000")</x:f>
        <x:v>https://www.google.com/maps?q=-12.863600,30.567150</x:v>
      </x:c>
      <x:c r="H4" s="14" t="str">
        <x:v>WGS 84 / EPSG:4326</x:v>
      </x:c>
      <x:c r="I4" s="14" t="str">
        <x:v>District reference centroid</x:v>
      </x:c>
      <x:c r="J4" s="14" t="str">
        <x:v>Reference only—field verification recommended</x:v>
      </x:c>
      <x:c r="K4" s="14" t="str">
        <x:v>This is a district-level reference point, not a confirmed civic-centre or council-office entrance.</x:v>
      </x:c>
      <x:c r="L4" s="14" t="str">
        <x:v>https://github.com/repoxbeta/repox-countries/tree/main/src/metadata/countries/zm</x:v>
      </x:c>
    </x:row>
    <x:row r="5">
      <x:c r="A5" s="14" t="str">
        <x:v>Central</x:v>
      </x:c>
      <x:c r="B5" s="14" t="str">
        <x:v>Kabwe</x:v>
      </x:c>
      <x:c r="C5" s="14" t="str">
        <x:v>Kabwe</x:v>
      </x:c>
      <x:c r="D5" s="16" t="n">
        <x:v>-14.4469</x:v>
      </x:c>
      <x:c r="E5" s="16" t="n">
        <x:v>28.4464</x:v>
      </x:c>
      <x:c r="F5" s="14" t="str">
        <x:f>TEXT(D5,"0.000000")&amp;", "&amp;TEXT(E5,"0.000000")</x:f>
        <x:v>-14.446900, 28.446400</x:v>
      </x:c>
      <x:c r="G5" s="14" t="str">
        <x:f>"https://www.google.com/maps?q="&amp;TEXT(D5,"0.000000")&amp;","&amp;TEXT(E5,"0.000000")</x:f>
        <x:v>https://www.google.com/maps?q=-14.446900,28.446400</x:v>
      </x:c>
      <x:c r="H5" s="14" t="str">
        <x:v>WGS 84 / EPSG:4326</x:v>
      </x:c>
      <x:c r="I5" s="14" t="str">
        <x:v>Town/administrative-centre point</x:v>
      </x:c>
      <x:c r="J5" s="14" t="str">
        <x:v>Gazetteer/reference point; not a building entrance</x:v>
      </x:c>
      <x:c r="K5" s="14" t="str"/>
      <x:c r="L5" s="14" t="str">
        <x:v>https://download.geonames.org/export/dump/</x:v>
      </x:c>
    </x:row>
    <x:row r="6">
      <x:c r="A6" s="14" t="str">
        <x:v>Central</x:v>
      </x:c>
      <x:c r="B6" s="14" t="str">
        <x:v>Kapiri Mposhi</x:v>
      </x:c>
      <x:c r="C6" s="14" t="str">
        <x:v>Kapiri Mposhi</x:v>
      </x:c>
      <x:c r="D6" s="16" t="n">
        <x:v>-13.9715</x:v>
      </x:c>
      <x:c r="E6" s="16" t="n">
        <x:v>28.6698</x:v>
      </x:c>
      <x:c r="F6" s="14" t="str">
        <x:f>TEXT(D6,"0.000000")&amp;", "&amp;TEXT(E6,"0.000000")</x:f>
        <x:v>-13.971500, 28.669800</x:v>
      </x:c>
      <x:c r="G6" s="14" t="str">
        <x:f>"https://www.google.com/maps?q="&amp;TEXT(D6,"0.000000")&amp;","&amp;TEXT(E6,"0.000000")</x:f>
        <x:v>https://www.google.com/maps?q=-13.971500,28.669800</x:v>
      </x:c>
      <x:c r="H6" s="14" t="str">
        <x:v>WGS 84 / EPSG:4326</x:v>
      </x:c>
      <x:c r="I6" s="14" t="str">
        <x:v>Town/administrative-centre point</x:v>
      </x:c>
      <x:c r="J6" s="14" t="str">
        <x:v>Gazetteer/reference point; not a building entrance</x:v>
      </x:c>
      <x:c r="K6" s="14" t="str"/>
      <x:c r="L6" s="14" t="str">
        <x:v>https://download.geonames.org/export/dump/</x:v>
      </x:c>
    </x:row>
    <x:row r="7">
      <x:c r="A7" s="14" t="str">
        <x:v>Central</x:v>
      </x:c>
      <x:c r="B7" s="14" t="str">
        <x:v>Luano</x:v>
      </x:c>
      <x:c r="C7" s="14" t="str">
        <x:v>Luano</x:v>
      </x:c>
      <x:c r="D7" s="16" t="n">
        <x:v>-14.47823</x:v>
      </x:c>
      <x:c r="E7" s="16" t="n">
        <x:v>29.55368</x:v>
      </x:c>
      <x:c r="F7" s="14" t="str">
        <x:f>TEXT(D7,"0.000000")&amp;", "&amp;TEXT(E7,"0.000000")</x:f>
        <x:v>-14.478230, 29.553680</x:v>
      </x:c>
      <x:c r="G7" s="14" t="str">
        <x:f>"https://www.google.com/maps?q="&amp;TEXT(D7,"0.000000")&amp;","&amp;TEXT(E7,"0.000000")</x:f>
        <x:v>https://www.google.com/maps?q=-14.478230,29.553680</x:v>
      </x:c>
      <x:c r="H7" s="14" t="str">
        <x:v>WGS 84 / EPSG:4326</x:v>
      </x:c>
      <x:c r="I7" s="14" t="str">
        <x:v>District reference centroid</x:v>
      </x:c>
      <x:c r="J7" s="14" t="str">
        <x:v>Reference only—field verification recommended</x:v>
      </x:c>
      <x:c r="K7" s="14" t="str">
        <x:v>This is a district-level reference point, not a confirmed civic-centre or council-office entrance.</x:v>
      </x:c>
      <x:c r="L7" s="14" t="str">
        <x:v>https://github.com/repoxbeta/repox-countries/tree/main/src/metadata/countries/zm</x:v>
      </x:c>
    </x:row>
    <x:row r="8">
      <x:c r="A8" s="14" t="str">
        <x:v>Central</x:v>
      </x:c>
      <x:c r="B8" s="14" t="str">
        <x:v>Mkushi</x:v>
      </x:c>
      <x:c r="C8" s="14" t="str">
        <x:v>Mkushi</x:v>
      </x:c>
      <x:c r="D8" s="16" t="n">
        <x:v>-13.6201</x:v>
      </x:c>
      <x:c r="E8" s="16" t="n">
        <x:v>29.3939</x:v>
      </x:c>
      <x:c r="F8" s="14" t="str">
        <x:f>TEXT(D8,"0.000000")&amp;", "&amp;TEXT(E8,"0.000000")</x:f>
        <x:v>-13.620100, 29.393900</x:v>
      </x:c>
      <x:c r="G8" s="14" t="str">
        <x:f>"https://www.google.com/maps?q="&amp;TEXT(D8,"0.000000")&amp;","&amp;TEXT(E8,"0.000000")</x:f>
        <x:v>https://www.google.com/maps?q=-13.620100,29.393900</x:v>
      </x:c>
      <x:c r="H8" s="14" t="str">
        <x:v>WGS 84 / EPSG:4326</x:v>
      </x:c>
      <x:c r="I8" s="14" t="str">
        <x:v>Town/administrative-centre point</x:v>
      </x:c>
      <x:c r="J8" s="14" t="str">
        <x:v>Gazetteer/reference point; not a building entrance</x:v>
      </x:c>
      <x:c r="K8" s="14" t="str"/>
      <x:c r="L8" s="14" t="str">
        <x:v>https://download.geonames.org/export/dump/</x:v>
      </x:c>
    </x:row>
    <x:row r="9">
      <x:c r="A9" s="14" t="str">
        <x:v>Central</x:v>
      </x:c>
      <x:c r="B9" s="14" t="str">
        <x:v>Mumbwa</x:v>
      </x:c>
      <x:c r="C9" s="14" t="str">
        <x:v>Mumbwa</x:v>
      </x:c>
      <x:c r="D9" s="16" t="n">
        <x:v>-14.9829</x:v>
      </x:c>
      <x:c r="E9" s="16" t="n">
        <x:v>27.0619</x:v>
      </x:c>
      <x:c r="F9" s="14" t="str">
        <x:f>TEXT(D9,"0.000000")&amp;", "&amp;TEXT(E9,"0.000000")</x:f>
        <x:v>-14.982900, 27.061900</x:v>
      </x:c>
      <x:c r="G9" s="14" t="str">
        <x:f>"https://www.google.com/maps?q="&amp;TEXT(D9,"0.000000")&amp;","&amp;TEXT(E9,"0.000000")</x:f>
        <x:v>https://www.google.com/maps?q=-14.982900,27.061900</x:v>
      </x:c>
      <x:c r="H9" s="14" t="str">
        <x:v>WGS 84 / EPSG:4326</x:v>
      </x:c>
      <x:c r="I9" s="14" t="str">
        <x:v>Town/administrative-centre point</x:v>
      </x:c>
      <x:c r="J9" s="14" t="str">
        <x:v>Gazetteer/reference point; not a building entrance</x:v>
      </x:c>
      <x:c r="K9" s="14" t="str"/>
      <x:c r="L9" s="14" t="str">
        <x:v>https://download.geonames.org/export/dump/</x:v>
      </x:c>
    </x:row>
    <x:row r="10">
      <x:c r="A10" s="14" t="str">
        <x:v>Central</x:v>
      </x:c>
      <x:c r="B10" s="14" t="str">
        <x:v>Ngabwe</x:v>
      </x:c>
      <x:c r="C10" s="14" t="str">
        <x:v>Ngabwe</x:v>
      </x:c>
      <x:c r="D10" s="16" t="n">
        <x:v>-14.0313</x:v>
      </x:c>
      <x:c r="E10" s="16" t="n">
        <x:v>27.44175</x:v>
      </x:c>
      <x:c r="F10" s="14" t="str">
        <x:f>TEXT(D10,"0.000000")&amp;", "&amp;TEXT(E10,"0.000000")</x:f>
        <x:v>-14.031300, 27.441750</x:v>
      </x:c>
      <x:c r="G10" s="14" t="str">
        <x:f>"https://www.google.com/maps?q="&amp;TEXT(D10,"0.000000")&amp;","&amp;TEXT(E10,"0.000000")</x:f>
        <x:v>https://www.google.com/maps?q=-14.031300,27.441750</x:v>
      </x:c>
      <x:c r="H10" s="14" t="str">
        <x:v>WGS 84 / EPSG:4326</x:v>
      </x:c>
      <x:c r="I10" s="14" t="str">
        <x:v>District reference centroid</x:v>
      </x:c>
      <x:c r="J10" s="14" t="str">
        <x:v>Reference only—field verification recommended</x:v>
      </x:c>
      <x:c r="K10" s="14" t="str">
        <x:v>This is a district-level reference point, not a confirmed civic-centre or council-office entrance.</x:v>
      </x:c>
      <x:c r="L10" s="14" t="str">
        <x:v>https://github.com/repoxbeta/repox-countries/tree/main/src/metadata/countries/zm</x:v>
      </x:c>
    </x:row>
    <x:row r="11">
      <x:c r="A11" s="14" t="str">
        <x:v>Central</x:v>
      </x:c>
      <x:c r="B11" s="14" t="str">
        <x:v>Serenje</x:v>
      </x:c>
      <x:c r="C11" s="14" t="str">
        <x:v>Serenje</x:v>
      </x:c>
      <x:c r="D11" s="16" t="n">
        <x:v>-13.2325</x:v>
      </x:c>
      <x:c r="E11" s="16" t="n">
        <x:v>30.2352</x:v>
      </x:c>
      <x:c r="F11" s="14" t="str">
        <x:f>TEXT(D11,"0.000000")&amp;", "&amp;TEXT(E11,"0.000000")</x:f>
        <x:v>-13.232500, 30.235200</x:v>
      </x:c>
      <x:c r="G11" s="14" t="str">
        <x:f>"https://www.google.com/maps?q="&amp;TEXT(D11,"0.000000")&amp;","&amp;TEXT(E11,"0.000000")</x:f>
        <x:v>https://www.google.com/maps?q=-13.232500,30.235200</x:v>
      </x:c>
      <x:c r="H11" s="14" t="str">
        <x:v>WGS 84 / EPSG:4326</x:v>
      </x:c>
      <x:c r="I11" s="14" t="str">
        <x:v>Town/administrative-centre point</x:v>
      </x:c>
      <x:c r="J11" s="14" t="str">
        <x:v>Gazetteer/reference point; not a building entrance</x:v>
      </x:c>
      <x:c r="K11" s="14" t="str"/>
      <x:c r="L11" s="14" t="str">
        <x:v>https://download.geonames.org/export/dump/</x:v>
      </x:c>
    </x:row>
    <x:row r="12">
      <x:c r="A12" s="14" t="str">
        <x:v>Central</x:v>
      </x:c>
      <x:c r="B12" s="14" t="str">
        <x:v>Shibuyunji</x:v>
      </x:c>
      <x:c r="C12" s="14" t="str">
        <x:v>Shibuyunji</x:v>
      </x:c>
      <x:c r="D12" s="16" t="n">
        <x:v>-15.38923</x:v>
      </x:c>
      <x:c r="E12" s="16" t="n">
        <x:v>27.70259</x:v>
      </x:c>
      <x:c r="F12" s="14" t="str">
        <x:f>TEXT(D12,"0.000000")&amp;", "&amp;TEXT(E12,"0.000000")</x:f>
        <x:v>-15.389230, 27.702590</x:v>
      </x:c>
      <x:c r="G12" s="14" t="str">
        <x:f>"https://www.google.com/maps?q="&amp;TEXT(D12,"0.000000")&amp;","&amp;TEXT(E12,"0.000000")</x:f>
        <x:v>https://www.google.com/maps?q=-15.389230,27.702590</x:v>
      </x:c>
      <x:c r="H12" s="14" t="str">
        <x:v>WGS 84 / EPSG:4326</x:v>
      </x:c>
      <x:c r="I12" s="14" t="str">
        <x:v>District reference centroid</x:v>
      </x:c>
      <x:c r="J12" s="14" t="str">
        <x:v>Reference only—field verification recommended</x:v>
      </x:c>
      <x:c r="K12" s="14" t="str">
        <x:v>This is a district-level reference point, not a confirmed civic-centre or council-office entrance.</x:v>
      </x:c>
      <x:c r="L12" s="14" t="str">
        <x:v>https://github.com/repoxbeta/repox-countries/tree/main/src/metadata/countries/zm</x:v>
      </x:c>
    </x:row>
    <x:row r="13">
      <x:c r="A13" s="14" t="str">
        <x:v>Copperbelt</x:v>
      </x:c>
      <x:c r="B13" s="14" t="str">
        <x:v>Chililabombwe</x:v>
      </x:c>
      <x:c r="C13" s="14" t="str">
        <x:v>Chililabombwe</x:v>
      </x:c>
      <x:c r="D13" s="16" t="n">
        <x:v>-12.3647</x:v>
      </x:c>
      <x:c r="E13" s="16" t="n">
        <x:v>27.8229</x:v>
      </x:c>
      <x:c r="F13" s="14" t="str">
        <x:f>TEXT(D13,"0.000000")&amp;", "&amp;TEXT(E13,"0.000000")</x:f>
        <x:v>-12.364700, 27.822900</x:v>
      </x:c>
      <x:c r="G13" s="14" t="str">
        <x:f>"https://www.google.com/maps?q="&amp;TEXT(D13,"0.000000")&amp;","&amp;TEXT(E13,"0.000000")</x:f>
        <x:v>https://www.google.com/maps?q=-12.364700,27.822900</x:v>
      </x:c>
      <x:c r="H13" s="14" t="str">
        <x:v>WGS 84 / EPSG:4326</x:v>
      </x:c>
      <x:c r="I13" s="14" t="str">
        <x:v>Town/administrative-centre point</x:v>
      </x:c>
      <x:c r="J13" s="14" t="str">
        <x:v>Gazetteer/reference point; not a building entrance</x:v>
      </x:c>
      <x:c r="K13" s="14" t="str"/>
      <x:c r="L13" s="14" t="str">
        <x:v>https://download.geonames.org/export/dump/</x:v>
      </x:c>
    </x:row>
    <x:row r="14">
      <x:c r="A14" s="14" t="str">
        <x:v>Copperbelt</x:v>
      </x:c>
      <x:c r="B14" s="14" t="str">
        <x:v>Chingola</x:v>
      </x:c>
      <x:c r="C14" s="14" t="str">
        <x:v>Chingola</x:v>
      </x:c>
      <x:c r="D14" s="16" t="n">
        <x:v>-12.529</x:v>
      </x:c>
      <x:c r="E14" s="16" t="n">
        <x:v>27.8838</x:v>
      </x:c>
      <x:c r="F14" s="14" t="str">
        <x:f>TEXT(D14,"0.000000")&amp;", "&amp;TEXT(E14,"0.000000")</x:f>
        <x:v>-12.529000, 27.883800</x:v>
      </x:c>
      <x:c r="G14" s="14" t="str">
        <x:f>"https://www.google.com/maps?q="&amp;TEXT(D14,"0.000000")&amp;","&amp;TEXT(E14,"0.000000")</x:f>
        <x:v>https://www.google.com/maps?q=-12.529000,27.883800</x:v>
      </x:c>
      <x:c r="H14" s="14" t="str">
        <x:v>WGS 84 / EPSG:4326</x:v>
      </x:c>
      <x:c r="I14" s="14" t="str">
        <x:v>Town/administrative-centre point</x:v>
      </x:c>
      <x:c r="J14" s="14" t="str">
        <x:v>Gazetteer/reference point; not a building entrance</x:v>
      </x:c>
      <x:c r="K14" s="14" t="str"/>
      <x:c r="L14" s="14" t="str">
        <x:v>https://download.geonames.org/export/dump/</x:v>
      </x:c>
    </x:row>
    <x:row r="15">
      <x:c r="A15" s="14" t="str">
        <x:v>Copperbelt</x:v>
      </x:c>
      <x:c r="B15" s="14" t="str">
        <x:v>Kalulushi</x:v>
      </x:c>
      <x:c r="C15" s="14" t="str">
        <x:v>Kalulushi</x:v>
      </x:c>
      <x:c r="D15" s="16" t="n">
        <x:v>-12.8415</x:v>
      </x:c>
      <x:c r="E15" s="16" t="n">
        <x:v>28.0948</x:v>
      </x:c>
      <x:c r="F15" s="14" t="str">
        <x:f>TEXT(D15,"0.000000")&amp;", "&amp;TEXT(E15,"0.000000")</x:f>
        <x:v>-12.841500, 28.094800</x:v>
      </x:c>
      <x:c r="G15" s="14" t="str">
        <x:f>"https://www.google.com/maps?q="&amp;TEXT(D15,"0.000000")&amp;","&amp;TEXT(E15,"0.000000")</x:f>
        <x:v>https://www.google.com/maps?q=-12.841500,28.094800</x:v>
      </x:c>
      <x:c r="H15" s="14" t="str">
        <x:v>WGS 84 / EPSG:4326</x:v>
      </x:c>
      <x:c r="I15" s="14" t="str">
        <x:v>Town/administrative-centre point</x:v>
      </x:c>
      <x:c r="J15" s="14" t="str">
        <x:v>Gazetteer/reference point; not a building entrance</x:v>
      </x:c>
      <x:c r="K15" s="14" t="str"/>
      <x:c r="L15" s="14" t="str">
        <x:v>https://download.geonames.org/export/dump/</x:v>
      </x:c>
    </x:row>
    <x:row r="16">
      <x:c r="A16" s="14" t="str">
        <x:v>Copperbelt</x:v>
      </x:c>
      <x:c r="B16" s="14" t="str">
        <x:v>Kitwe</x:v>
      </x:c>
      <x:c r="C16" s="14" t="str">
        <x:v>Kitwe</x:v>
      </x:c>
      <x:c r="D16" s="16" t="n">
        <x:v>-12.8024</x:v>
      </x:c>
      <x:c r="E16" s="16" t="n">
        <x:v>28.2132</x:v>
      </x:c>
      <x:c r="F16" s="14" t="str">
        <x:f>TEXT(D16,"0.000000")&amp;", "&amp;TEXT(E16,"0.000000")</x:f>
        <x:v>-12.802400, 28.213200</x:v>
      </x:c>
      <x:c r="G16" s="14" t="str">
        <x:f>"https://www.google.com/maps?q="&amp;TEXT(D16,"0.000000")&amp;","&amp;TEXT(E16,"0.000000")</x:f>
        <x:v>https://www.google.com/maps?q=-12.802400,28.213200</x:v>
      </x:c>
      <x:c r="H16" s="14" t="str">
        <x:v>WGS 84 / EPSG:4326</x:v>
      </x:c>
      <x:c r="I16" s="14" t="str">
        <x:v>Town/administrative-centre point</x:v>
      </x:c>
      <x:c r="J16" s="14" t="str">
        <x:v>Gazetteer/reference point; not a building entrance</x:v>
      </x:c>
      <x:c r="K16" s="14" t="str"/>
      <x:c r="L16" s="14" t="str">
        <x:v>https://download.geonames.org/export/dump/</x:v>
      </x:c>
    </x:row>
    <x:row r="17">
      <x:c r="A17" s="14" t="str">
        <x:v>Copperbelt</x:v>
      </x:c>
      <x:c r="B17" s="14" t="str">
        <x:v>Luanshya</x:v>
      </x:c>
      <x:c r="C17" s="14" t="str">
        <x:v>Luanshya</x:v>
      </x:c>
      <x:c r="D17" s="16" t="n">
        <x:v>-13.1367</x:v>
      </x:c>
      <x:c r="E17" s="16" t="n">
        <x:v>28.4166</x:v>
      </x:c>
      <x:c r="F17" s="14" t="str">
        <x:f>TEXT(D17,"0.000000")&amp;", "&amp;TEXT(E17,"0.000000")</x:f>
        <x:v>-13.136700, 28.416600</x:v>
      </x:c>
      <x:c r="G17" s="14" t="str">
        <x:f>"https://www.google.com/maps?q="&amp;TEXT(D17,"0.000000")&amp;","&amp;TEXT(E17,"0.000000")</x:f>
        <x:v>https://www.google.com/maps?q=-13.136700,28.416600</x:v>
      </x:c>
      <x:c r="H17" s="14" t="str">
        <x:v>WGS 84 / EPSG:4326</x:v>
      </x:c>
      <x:c r="I17" s="14" t="str">
        <x:v>Town/administrative-centre point</x:v>
      </x:c>
      <x:c r="J17" s="14" t="str">
        <x:v>Gazetteer/reference point; not a building entrance</x:v>
      </x:c>
      <x:c r="K17" s="14" t="str"/>
      <x:c r="L17" s="14" t="str">
        <x:v>https://download.geonames.org/export/dump/</x:v>
      </x:c>
    </x:row>
    <x:row r="18">
      <x:c r="A18" s="14" t="str">
        <x:v>Copperbelt</x:v>
      </x:c>
      <x:c r="B18" s="14" t="str">
        <x:v>Lufwanyama</x:v>
      </x:c>
      <x:c r="C18" s="14" t="str">
        <x:v>Lufwanyama</x:v>
      </x:c>
      <x:c r="D18" s="16" t="n">
        <x:v>-12.952</x:v>
      </x:c>
      <x:c r="E18" s="16" t="n">
        <x:v>27.41743</x:v>
      </x:c>
      <x:c r="F18" s="14" t="str">
        <x:f>TEXT(D18,"0.000000")&amp;", "&amp;TEXT(E18,"0.000000")</x:f>
        <x:v>-12.952000, 27.417430</x:v>
      </x:c>
      <x:c r="G18" s="14" t="str">
        <x:f>"https://www.google.com/maps?q="&amp;TEXT(D18,"0.000000")&amp;","&amp;TEXT(E18,"0.000000")</x:f>
        <x:v>https://www.google.com/maps?q=-12.952000,27.417430</x:v>
      </x:c>
      <x:c r="H18" s="14" t="str">
        <x:v>WGS 84 / EPSG:4326</x:v>
      </x:c>
      <x:c r="I18" s="14" t="str">
        <x:v>District reference centroid</x:v>
      </x:c>
      <x:c r="J18" s="14" t="str">
        <x:v>Reference only—field verification recommended</x:v>
      </x:c>
      <x:c r="K18" s="14" t="str">
        <x:v>This is a district-level reference point, not a confirmed civic-centre or council-office entrance.</x:v>
      </x:c>
      <x:c r="L18" s="14" t="str">
        <x:v>https://github.com/repoxbeta/repox-countries/tree/main/src/metadata/countries/zm</x:v>
      </x:c>
    </x:row>
    <x:row r="19">
      <x:c r="A19" s="14" t="str">
        <x:v>Copperbelt</x:v>
      </x:c>
      <x:c r="B19" s="14" t="str">
        <x:v>Masaiti</x:v>
      </x:c>
      <x:c r="C19" s="14" t="str">
        <x:v>Masaiti</x:v>
      </x:c>
      <x:c r="D19" s="16" t="n">
        <x:v>-13.409</x:v>
      </x:c>
      <x:c r="E19" s="16" t="n">
        <x:v>28.719</x:v>
      </x:c>
      <x:c r="F19" s="14" t="str">
        <x:f>TEXT(D19,"0.000000")&amp;", "&amp;TEXT(E19,"0.000000")</x:f>
        <x:v>-13.409000, 28.719000</x:v>
      </x:c>
      <x:c r="G19" s="14" t="str">
        <x:f>"https://www.google.com/maps?q="&amp;TEXT(D19,"0.000000")&amp;","&amp;TEXT(E19,"0.000000")</x:f>
        <x:v>https://www.google.com/maps?q=-13.409000,28.719000</x:v>
      </x:c>
      <x:c r="H19" s="14" t="str">
        <x:v>WGS 84 / EPSG:4326</x:v>
      </x:c>
      <x:c r="I19" s="14" t="str">
        <x:v>District reference centroid</x:v>
      </x:c>
      <x:c r="J19" s="14" t="str">
        <x:v>Reference only—field verification recommended</x:v>
      </x:c>
      <x:c r="K19" s="14" t="str">
        <x:v>This is a district-level reference point, not a confirmed civic-centre or council-office entrance.</x:v>
      </x:c>
      <x:c r="L19" s="14" t="str">
        <x:v>https://github.com/repoxbeta/repox-countries/tree/main/src/metadata/countries/zm</x:v>
      </x:c>
    </x:row>
    <x:row r="20">
      <x:c r="A20" s="14" t="str">
        <x:v>Copperbelt</x:v>
      </x:c>
      <x:c r="B20" s="14" t="str">
        <x:v>Mpongwe</x:v>
      </x:c>
      <x:c r="C20" s="14" t="str">
        <x:v>Mpongwe</x:v>
      </x:c>
      <x:c r="D20" s="16" t="n">
        <x:v>-13.5091</x:v>
      </x:c>
      <x:c r="E20" s="16" t="n">
        <x:v>28.155</x:v>
      </x:c>
      <x:c r="F20" s="14" t="str">
        <x:f>TEXT(D20,"0.000000")&amp;", "&amp;TEXT(E20,"0.000000")</x:f>
        <x:v>-13.509100, 28.155000</x:v>
      </x:c>
      <x:c r="G20" s="14" t="str">
        <x:f>"https://www.google.com/maps?q="&amp;TEXT(D20,"0.000000")&amp;","&amp;TEXT(E20,"0.000000")</x:f>
        <x:v>https://www.google.com/maps?q=-13.509100,28.155000</x:v>
      </x:c>
      <x:c r="H20" s="14" t="str">
        <x:v>WGS 84 / EPSG:4326</x:v>
      </x:c>
      <x:c r="I20" s="14" t="str">
        <x:v>Town/administrative-centre point</x:v>
      </x:c>
      <x:c r="J20" s="14" t="str">
        <x:v>Gazetteer/reference point; not a building entrance</x:v>
      </x:c>
      <x:c r="K20" s="14" t="str"/>
      <x:c r="L20" s="14" t="str">
        <x:v>https://download.geonames.org/export/dump/</x:v>
      </x:c>
    </x:row>
    <x:row r="21">
      <x:c r="A21" s="14" t="str">
        <x:v>Copperbelt</x:v>
      </x:c>
      <x:c r="B21" s="14" t="str">
        <x:v>Mufulira</x:v>
      </x:c>
      <x:c r="C21" s="14" t="str">
        <x:v>Mufulira</x:v>
      </x:c>
      <x:c r="D21" s="16" t="n">
        <x:v>-12.5498</x:v>
      </x:c>
      <x:c r="E21" s="16" t="n">
        <x:v>28.2407</x:v>
      </x:c>
      <x:c r="F21" s="14" t="str">
        <x:f>TEXT(D21,"0.000000")&amp;", "&amp;TEXT(E21,"0.000000")</x:f>
        <x:v>-12.549800, 28.240700</x:v>
      </x:c>
      <x:c r="G21" s="14" t="str">
        <x:f>"https://www.google.com/maps?q="&amp;TEXT(D21,"0.000000")&amp;","&amp;TEXT(E21,"0.000000")</x:f>
        <x:v>https://www.google.com/maps?q=-12.549800,28.240700</x:v>
      </x:c>
      <x:c r="H21" s="14" t="str">
        <x:v>WGS 84 / EPSG:4326</x:v>
      </x:c>
      <x:c r="I21" s="14" t="str">
        <x:v>Town/administrative-centre point</x:v>
      </x:c>
      <x:c r="J21" s="14" t="str">
        <x:v>Gazetteer/reference point; not a building entrance</x:v>
      </x:c>
      <x:c r="K21" s="14" t="str"/>
      <x:c r="L21" s="14" t="str">
        <x:v>https://download.geonames.org/export/dump/</x:v>
      </x:c>
    </x:row>
    <x:row r="22">
      <x:c r="A22" s="14" t="str">
        <x:v>Copperbelt</x:v>
      </x:c>
      <x:c r="B22" s="14" t="str">
        <x:v>Ndola</x:v>
      </x:c>
      <x:c r="C22" s="14" t="str">
        <x:v>Ndola</x:v>
      </x:c>
      <x:c r="D22" s="16" t="n">
        <x:v>-12.9587</x:v>
      </x:c>
      <x:c r="E22" s="16" t="n">
        <x:v>28.6366</x:v>
      </x:c>
      <x:c r="F22" s="14" t="str">
        <x:f>TEXT(D22,"0.000000")&amp;", "&amp;TEXT(E22,"0.000000")</x:f>
        <x:v>-12.958700, 28.636600</x:v>
      </x:c>
      <x:c r="G22" s="14" t="str">
        <x:f>"https://www.google.com/maps?q="&amp;TEXT(D22,"0.000000")&amp;","&amp;TEXT(E22,"0.000000")</x:f>
        <x:v>https://www.google.com/maps?q=-12.958700,28.636600</x:v>
      </x:c>
      <x:c r="H22" s="14" t="str">
        <x:v>WGS 84 / EPSG:4326</x:v>
      </x:c>
      <x:c r="I22" s="14" t="str">
        <x:v>Town/administrative-centre point</x:v>
      </x:c>
      <x:c r="J22" s="14" t="str">
        <x:v>Gazetteer/reference point; not a building entrance</x:v>
      </x:c>
      <x:c r="K22" s="14" t="str"/>
      <x:c r="L22" s="14" t="str">
        <x:v>https://download.geonames.org/export/dump/</x:v>
      </x:c>
    </x:row>
    <x:row r="23">
      <x:c r="A23" s="14" t="str">
        <x:v>Eastern</x:v>
      </x:c>
      <x:c r="B23" s="14" t="str">
        <x:v>Chadiza</x:v>
      </x:c>
      <x:c r="C23" s="14" t="str">
        <x:v>Chadiza</x:v>
      </x:c>
      <x:c r="D23" s="16" t="n">
        <x:v>-14.09739</x:v>
      </x:c>
      <x:c r="E23" s="16" t="n">
        <x:v>32.48708</x:v>
      </x:c>
      <x:c r="F23" s="14" t="str">
        <x:f>TEXT(D23,"0.000000")&amp;", "&amp;TEXT(E23,"0.000000")</x:f>
        <x:v>-14.097390, 32.487080</x:v>
      </x:c>
      <x:c r="G23" s="14" t="str">
        <x:f>"https://www.google.com/maps?q="&amp;TEXT(D23,"0.000000")&amp;","&amp;TEXT(E23,"0.000000")</x:f>
        <x:v>https://www.google.com/maps?q=-14.097390,32.487080</x:v>
      </x:c>
      <x:c r="H23" s="14" t="str">
        <x:v>WGS 84 / EPSG:4326</x:v>
      </x:c>
      <x:c r="I23" s="14" t="str">
        <x:v>District reference centroid</x:v>
      </x:c>
      <x:c r="J23" s="14" t="str">
        <x:v>Reference only—field verification recommended</x:v>
      </x:c>
      <x:c r="K23" s="14" t="str">
        <x:v>This is a district-level reference point, not a confirmed civic-centre or council-office entrance.</x:v>
      </x:c>
      <x:c r="L23" s="14" t="str">
        <x:v>https://github.com/repoxbeta/repox-countries/tree/main/src/metadata/countries/zm</x:v>
      </x:c>
    </x:row>
    <x:row r="24">
      <x:c r="A24" s="14" t="str">
        <x:v>Eastern</x:v>
      </x:c>
      <x:c r="B24" s="14" t="str">
        <x:v>Chama</x:v>
      </x:c>
      <x:c r="C24" s="14" t="str">
        <x:v>Chama</x:v>
      </x:c>
      <x:c r="D24" s="16" t="n">
        <x:v>-11.25</x:v>
      </x:c>
      <x:c r="E24" s="16" t="n">
        <x:v>32.83333</x:v>
      </x:c>
      <x:c r="F24" s="14" t="str">
        <x:f>TEXT(D24,"0.000000")&amp;", "&amp;TEXT(E24,"0.000000")</x:f>
        <x:v>-11.250000, 32.833330</x:v>
      </x:c>
      <x:c r="G24" s="14" t="str">
        <x:f>"https://www.google.com/maps?q="&amp;TEXT(D24,"0.000000")&amp;","&amp;TEXT(E24,"0.000000")</x:f>
        <x:v>https://www.google.com/maps?q=-11.250000,32.833330</x:v>
      </x:c>
      <x:c r="H24" s="14" t="str">
        <x:v>WGS 84 / EPSG:4326</x:v>
      </x:c>
      <x:c r="I24" s="14" t="str">
        <x:v>District reference centroid</x:v>
      </x:c>
      <x:c r="J24" s="14" t="str">
        <x:v>Reference only—field verification recommended</x:v>
      </x:c>
      <x:c r="K24" s="14" t="str">
        <x:v>This is a district-level reference point, not a confirmed civic-centre or council-office entrance.</x:v>
      </x:c>
      <x:c r="L24" s="14" t="str">
        <x:v>https://github.com/repoxbeta/repox-countries/tree/main/src/metadata/countries/zm</x:v>
      </x:c>
    </x:row>
    <x:row r="25">
      <x:c r="A25" s="14" t="str">
        <x:v>Eastern</x:v>
      </x:c>
      <x:c r="B25" s="14" t="str">
        <x:v>Chasefu</x:v>
      </x:c>
      <x:c r="C25" s="14" t="str">
        <x:v>Chasefu</x:v>
      </x:c>
      <x:c r="D25" s="16" t="n">
        <x:v>-11.92107</x:v>
      </x:c>
      <x:c r="E25" s="16" t="n">
        <x:v>33.09249</x:v>
      </x:c>
      <x:c r="F25" s="14" t="str">
        <x:f>TEXT(D25,"0.000000")&amp;", "&amp;TEXT(E25,"0.000000")</x:f>
        <x:v>-11.921070, 33.092490</x:v>
      </x:c>
      <x:c r="G25" s="14" t="str">
        <x:f>"https://www.google.com/maps?q="&amp;TEXT(D25,"0.000000")&amp;","&amp;TEXT(E25,"0.000000")</x:f>
        <x:v>https://www.google.com/maps?q=-11.921070,33.092490</x:v>
      </x:c>
      <x:c r="H25" s="14" t="str">
        <x:v>WGS 84 / EPSG:4326</x:v>
      </x:c>
      <x:c r="I25" s="14" t="str">
        <x:v>Town/administrative point</x:v>
      </x:c>
      <x:c r="J25" s="14" t="str">
        <x:v>Checked settlement point</x:v>
      </x:c>
      <x:c r="K25" s="14" t="str"/>
      <x:c r="L25" s="14" t="str">
        <x:v>https://www.openstreetmap.org/</x:v>
      </x:c>
    </x:row>
    <x:row r="26">
      <x:c r="A26" s="14" t="str">
        <x:v>Eastern</x:v>
      </x:c>
      <x:c r="B26" s="14" t="str">
        <x:v>Chipangali</x:v>
      </x:c>
      <x:c r="C26" s="14" t="str">
        <x:v>Chipangali</x:v>
      </x:c>
      <x:c r="D26" s="16" t="n">
        <x:v>-13.21638</x:v>
      </x:c>
      <x:c r="E26" s="16" t="n">
        <x:v>32.76367</x:v>
      </x:c>
      <x:c r="F26" s="14" t="str">
        <x:f>TEXT(D26,"0.000000")&amp;", "&amp;TEXT(E26,"0.000000")</x:f>
        <x:v>-13.216380, 32.763670</x:v>
      </x:c>
      <x:c r="G26" s="14" t="str">
        <x:f>"https://www.google.com/maps?q="&amp;TEXT(D26,"0.000000")&amp;","&amp;TEXT(E26,"0.000000")</x:f>
        <x:v>https://www.google.com/maps?q=-13.216380,32.763670</x:v>
      </x:c>
      <x:c r="H26" s="14" t="str">
        <x:v>WGS 84 / EPSG:4326</x:v>
      </x:c>
      <x:c r="I26" s="14" t="str">
        <x:v>Town/administrative point</x:v>
      </x:c>
      <x:c r="J26" s="14" t="str">
        <x:v>Checked settlement point</x:v>
      </x:c>
      <x:c r="K26" s="14" t="str"/>
      <x:c r="L26" s="14" t="str">
        <x:v>https://www.openstreetmap.org/</x:v>
      </x:c>
    </x:row>
    <x:row r="27">
      <x:c r="A27" s="14" t="str">
        <x:v>Eastern</x:v>
      </x:c>
      <x:c r="B27" s="14" t="str">
        <x:v>Chipata</x:v>
      </x:c>
      <x:c r="C27" s="14" t="str">
        <x:v>Chipata</x:v>
      </x:c>
      <x:c r="D27" s="16" t="n">
        <x:v>-13.6333</x:v>
      </x:c>
      <x:c r="E27" s="16" t="n">
        <x:v>32.65</x:v>
      </x:c>
      <x:c r="F27" s="14" t="str">
        <x:f>TEXT(D27,"0.000000")&amp;", "&amp;TEXT(E27,"0.000000")</x:f>
        <x:v>-13.633300, 32.650000</x:v>
      </x:c>
      <x:c r="G27" s="14" t="str">
        <x:f>"https://www.google.com/maps?q="&amp;TEXT(D27,"0.000000")&amp;","&amp;TEXT(E27,"0.000000")</x:f>
        <x:v>https://www.google.com/maps?q=-13.633300,32.650000</x:v>
      </x:c>
      <x:c r="H27" s="14" t="str">
        <x:v>WGS 84 / EPSG:4326</x:v>
      </x:c>
      <x:c r="I27" s="14" t="str">
        <x:v>Town/administrative-centre point</x:v>
      </x:c>
      <x:c r="J27" s="14" t="str">
        <x:v>Gazetteer/reference point; not a building entrance</x:v>
      </x:c>
      <x:c r="K27" s="14" t="str"/>
      <x:c r="L27" s="14" t="str">
        <x:v>https://download.geonames.org/export/dump/</x:v>
      </x:c>
    </x:row>
    <x:row r="28">
      <x:c r="A28" s="14" t="str">
        <x:v>Eastern</x:v>
      </x:c>
      <x:c r="B28" s="14" t="str">
        <x:v>Kasenengwa</x:v>
      </x:c>
      <x:c r="C28" s="14" t="str">
        <x:v>Kasenengwa</x:v>
      </x:c>
      <x:c r="D28" s="16" t="n">
        <x:v>-13.56876</x:v>
      </x:c>
      <x:c r="E28" s="16" t="n">
        <x:v>32.4783</x:v>
      </x:c>
      <x:c r="F28" s="14" t="str">
        <x:f>TEXT(D28,"0.000000")&amp;", "&amp;TEXT(E28,"0.000000")</x:f>
        <x:v>-13.568760, 32.478300</x:v>
      </x:c>
      <x:c r="G28" s="14" t="str">
        <x:f>"https://www.google.com/maps?q="&amp;TEXT(D28,"0.000000")&amp;","&amp;TEXT(E28,"0.000000")</x:f>
        <x:v>https://www.google.com/maps?q=-13.568760,32.478300</x:v>
      </x:c>
      <x:c r="H28" s="14" t="str">
        <x:v>WGS 84 / EPSG:4326</x:v>
      </x:c>
      <x:c r="I28" s="14" t="str">
        <x:v>Town/administrative point</x:v>
      </x:c>
      <x:c r="J28" s="14" t="str">
        <x:v>Checked settlement point</x:v>
      </x:c>
      <x:c r="K28" s="14" t="str"/>
      <x:c r="L28" s="14" t="str">
        <x:v>https://www.openstreetmap.org/</x:v>
      </x:c>
    </x:row>
    <x:row r="29">
      <x:c r="A29" s="14" t="str">
        <x:v>Eastern</x:v>
      </x:c>
      <x:c r="B29" s="14" t="str">
        <x:v>Katete</x:v>
      </x:c>
      <x:c r="C29" s="14" t="str">
        <x:v>Katete</x:v>
      </x:c>
      <x:c r="D29" s="16" t="n">
        <x:v>-14.04074</x:v>
      </x:c>
      <x:c r="E29" s="16" t="n">
        <x:v>32.04329</x:v>
      </x:c>
      <x:c r="F29" s="14" t="str">
        <x:f>TEXT(D29,"0.000000")&amp;", "&amp;TEXT(E29,"0.000000")</x:f>
        <x:v>-14.040740, 32.043290</x:v>
      </x:c>
      <x:c r="G29" s="14" t="str">
        <x:f>"https://www.google.com/maps?q="&amp;TEXT(D29,"0.000000")&amp;","&amp;TEXT(E29,"0.000000")</x:f>
        <x:v>https://www.google.com/maps?q=-14.040740,32.043290</x:v>
      </x:c>
      <x:c r="H29" s="14" t="str">
        <x:v>WGS 84 / EPSG:4326</x:v>
      </x:c>
      <x:c r="I29" s="14" t="str">
        <x:v>District reference centroid</x:v>
      </x:c>
      <x:c r="J29" s="14" t="str">
        <x:v>Reference only—field verification recommended</x:v>
      </x:c>
      <x:c r="K29" s="14" t="str">
        <x:v>This is a district-level reference point, not a confirmed civic-centre or council-office entrance.</x:v>
      </x:c>
      <x:c r="L29" s="14" t="str">
        <x:v>https://github.com/repoxbeta/repox-countries/tree/main/src/metadata/countries/zm</x:v>
      </x:c>
    </x:row>
    <x:row r="30">
      <x:c r="A30" s="14" t="str">
        <x:v>Eastern</x:v>
      </x:c>
      <x:c r="B30" s="14" t="str">
        <x:v>Lumezi</x:v>
      </x:c>
      <x:c r="C30" s="14" t="str">
        <x:v>Lumezi</x:v>
      </x:c>
      <x:c r="D30" s="16" t="n">
        <x:v>-12.54161</x:v>
      </x:c>
      <x:c r="E30" s="16" t="n">
        <x:v>33.03957</x:v>
      </x:c>
      <x:c r="F30" s="14" t="str">
        <x:f>TEXT(D30,"0.000000")&amp;", "&amp;TEXT(E30,"0.000000")</x:f>
        <x:v>-12.541610, 33.039570</x:v>
      </x:c>
      <x:c r="G30" s="14" t="str">
        <x:f>"https://www.google.com/maps?q="&amp;TEXT(D30,"0.000000")&amp;","&amp;TEXT(E30,"0.000000")</x:f>
        <x:v>https://www.google.com/maps?q=-12.541610,33.039570</x:v>
      </x:c>
      <x:c r="H30" s="14" t="str">
        <x:v>WGS 84 / EPSG:4326</x:v>
      </x:c>
      <x:c r="I30" s="14" t="str">
        <x:v>Town/administrative point</x:v>
      </x:c>
      <x:c r="J30" s="14" t="str">
        <x:v>Checked settlement point</x:v>
      </x:c>
      <x:c r="K30" s="14" t="str"/>
      <x:c r="L30" s="14" t="str">
        <x:v>https://www.openstreetmap.org/</x:v>
      </x:c>
    </x:row>
    <x:row r="31">
      <x:c r="A31" s="14" t="str">
        <x:v>Eastern</x:v>
      </x:c>
      <x:c r="B31" s="14" t="str">
        <x:v>Lundazi</x:v>
      </x:c>
      <x:c r="C31" s="14" t="str">
        <x:v>Lundazi</x:v>
      </x:c>
      <x:c r="D31" s="16" t="n">
        <x:v>-12.2929</x:v>
      </x:c>
      <x:c r="E31" s="16" t="n">
        <x:v>33.1782</x:v>
      </x:c>
      <x:c r="F31" s="14" t="str">
        <x:f>TEXT(D31,"0.000000")&amp;", "&amp;TEXT(E31,"0.000000")</x:f>
        <x:v>-12.292900, 33.178200</x:v>
      </x:c>
      <x:c r="G31" s="14" t="str">
        <x:f>"https://www.google.com/maps?q="&amp;TEXT(D31,"0.000000")&amp;","&amp;TEXT(E31,"0.000000")</x:f>
        <x:v>https://www.google.com/maps?q=-12.292900,33.178200</x:v>
      </x:c>
      <x:c r="H31" s="14" t="str">
        <x:v>WGS 84 / EPSG:4326</x:v>
      </x:c>
      <x:c r="I31" s="14" t="str">
        <x:v>Town/administrative-centre point</x:v>
      </x:c>
      <x:c r="J31" s="14" t="str">
        <x:v>Gazetteer/reference point; not a building entrance</x:v>
      </x:c>
      <x:c r="K31" s="14" t="str"/>
      <x:c r="L31" s="14" t="str">
        <x:v>https://download.geonames.org/export/dump/</x:v>
      </x:c>
    </x:row>
    <x:row r="32">
      <x:c r="A32" s="14" t="str">
        <x:v>Eastern</x:v>
      </x:c>
      <x:c r="B32" s="14" t="str">
        <x:v>Lusangazi</x:v>
      </x:c>
      <x:c r="C32" s="14" t="str">
        <x:v>Lusangazi</x:v>
      </x:c>
      <x:c r="D32" s="16" t="n">
        <x:v>-13.666667</x:v>
      </x:c>
      <x:c r="E32" s="16" t="n">
        <x:v>31.45</x:v>
      </x:c>
      <x:c r="F32" s="14" t="str">
        <x:f>TEXT(D32,"0.000000")&amp;", "&amp;TEXT(E32,"0.000000")</x:f>
        <x:v>-13.666667, 31.450000</x:v>
      </x:c>
      <x:c r="G32" s="14" t="str">
        <x:f>"https://www.google.com/maps?q="&amp;TEXT(D32,"0.000000")&amp;","&amp;TEXT(E32,"0.000000")</x:f>
        <x:v>https://www.google.com/maps?q=-13.666667,31.450000</x:v>
      </x:c>
      <x:c r="H32" s="14" t="str">
        <x:v>WGS 84 / EPSG:4326</x:v>
      </x:c>
      <x:c r="I32" s="14" t="str">
        <x:v>District reference centroid</x:v>
      </x:c>
      <x:c r="J32" s="14" t="str">
        <x:v>Reference only—field verification recommended</x:v>
      </x:c>
      <x:c r="K32" s="14" t="str">
        <x:v>This is a district-level reference point, not a confirmed civic-centre or council-office entrance.</x:v>
      </x:c>
      <x:c r="L32" s="14" t="str">
        <x:v>https://github.com/repoxbeta/repox-countries/tree/main/src/metadata/countries/zm</x:v>
      </x:c>
    </x:row>
    <x:row r="33">
      <x:c r="A33" s="14" t="str">
        <x:v>Eastern</x:v>
      </x:c>
      <x:c r="B33" s="14" t="str">
        <x:v>Mambwe</x:v>
      </x:c>
      <x:c r="C33" s="14" t="str">
        <x:v>Mfuwe</x:v>
      </x:c>
      <x:c r="D33" s="16" t="n">
        <x:v>-13.34208</x:v>
      </x:c>
      <x:c r="E33" s="16" t="n">
        <x:v>31.92867</x:v>
      </x:c>
      <x:c r="F33" s="14" t="str">
        <x:f>TEXT(D33,"0.000000")&amp;", "&amp;TEXT(E33,"0.000000")</x:f>
        <x:v>-13.342080, 31.928670</x:v>
      </x:c>
      <x:c r="G33" s="14" t="str">
        <x:f>"https://www.google.com/maps?q="&amp;TEXT(D33,"0.000000")&amp;","&amp;TEXT(E33,"0.000000")</x:f>
        <x:v>https://www.google.com/maps?q=-13.342080,31.928670</x:v>
      </x:c>
      <x:c r="H33" s="14" t="str">
        <x:v>WGS 84 / EPSG:4326</x:v>
      </x:c>
      <x:c r="I33" s="14" t="str">
        <x:v>District reference centroid</x:v>
      </x:c>
      <x:c r="J33" s="14" t="str">
        <x:v>Reference only—field verification recommended</x:v>
      </x:c>
      <x:c r="K33" s="14" t="str">
        <x:v>Mambwe District is commonly administered from Mfuwe; coordinate shown is a district reference point.</x:v>
      </x:c>
      <x:c r="L33" s="14" t="str">
        <x:v>https://github.com/repoxbeta/repox-countries/tree/main/src/metadata/countries/zm</x:v>
      </x:c>
    </x:row>
    <x:row r="34">
      <x:c r="A34" s="14" t="str">
        <x:v>Eastern</x:v>
      </x:c>
      <x:c r="B34" s="14" t="str">
        <x:v>Nyimba</x:v>
      </x:c>
      <x:c r="C34" s="14" t="str">
        <x:v>Nyimba</x:v>
      </x:c>
      <x:c r="D34" s="16" t="n">
        <x:v>-14.34628</x:v>
      </x:c>
      <x:c r="E34" s="16" t="n">
        <x:v>30.59705</x:v>
      </x:c>
      <x:c r="F34" s="14" t="str">
        <x:f>TEXT(D34,"0.000000")&amp;", "&amp;TEXT(E34,"0.000000")</x:f>
        <x:v>-14.346280, 30.597050</x:v>
      </x:c>
      <x:c r="G34" s="14" t="str">
        <x:f>"https://www.google.com/maps?q="&amp;TEXT(D34,"0.000000")&amp;","&amp;TEXT(E34,"0.000000")</x:f>
        <x:v>https://www.google.com/maps?q=-14.346280,30.597050</x:v>
      </x:c>
      <x:c r="H34" s="14" t="str">
        <x:v>WGS 84 / EPSG:4326</x:v>
      </x:c>
      <x:c r="I34" s="14" t="str">
        <x:v>District reference centroid</x:v>
      </x:c>
      <x:c r="J34" s="14" t="str">
        <x:v>Reference only—field verification recommended</x:v>
      </x:c>
      <x:c r="K34" s="14" t="str">
        <x:v>This is a district-level reference point, not a confirmed civic-centre or council-office entrance.</x:v>
      </x:c>
      <x:c r="L34" s="14" t="str">
        <x:v>https://github.com/repoxbeta/repox-countries/tree/main/src/metadata/countries/zm</x:v>
      </x:c>
    </x:row>
    <x:row r="35">
      <x:c r="A35" s="14" t="str">
        <x:v>Eastern</x:v>
      </x:c>
      <x:c r="B35" s="14" t="str">
        <x:v>Petauke</x:v>
      </x:c>
      <x:c r="C35" s="14" t="str">
        <x:v>Petauke</x:v>
      </x:c>
      <x:c r="D35" s="16" t="n">
        <x:v>-14.2412</x:v>
      </x:c>
      <x:c r="E35" s="16" t="n">
        <x:v>31.3197</x:v>
      </x:c>
      <x:c r="F35" s="14" t="str">
        <x:f>TEXT(D35,"0.000000")&amp;", "&amp;TEXT(E35,"0.000000")</x:f>
        <x:v>-14.241200, 31.319700</x:v>
      </x:c>
      <x:c r="G35" s="14" t="str">
        <x:f>"https://www.google.com/maps?q="&amp;TEXT(D35,"0.000000")&amp;","&amp;TEXT(E35,"0.000000")</x:f>
        <x:v>https://www.google.com/maps?q=-14.241200,31.319700</x:v>
      </x:c>
      <x:c r="H35" s="14" t="str">
        <x:v>WGS 84 / EPSG:4326</x:v>
      </x:c>
      <x:c r="I35" s="14" t="str">
        <x:v>Town/administrative-centre point</x:v>
      </x:c>
      <x:c r="J35" s="14" t="str">
        <x:v>Gazetteer/reference point; not a building entrance</x:v>
      </x:c>
      <x:c r="K35" s="14" t="str"/>
      <x:c r="L35" s="14" t="str">
        <x:v>https://download.geonames.org/export/dump/</x:v>
      </x:c>
    </x:row>
    <x:row r="36">
      <x:c r="A36" s="14" t="str">
        <x:v>Eastern</x:v>
      </x:c>
      <x:c r="B36" s="14" t="str">
        <x:v>Sinda</x:v>
      </x:c>
      <x:c r="C36" s="14" t="str">
        <x:v>Sinda</x:v>
      </x:c>
      <x:c r="D36" s="16" t="n">
        <x:v>-14.22958</x:v>
      </x:c>
      <x:c r="E36" s="16" t="n">
        <x:v>31.70967</x:v>
      </x:c>
      <x:c r="F36" s="14" t="str">
        <x:f>TEXT(D36,"0.000000")&amp;", "&amp;TEXT(E36,"0.000000")</x:f>
        <x:v>-14.229580, 31.709670</x:v>
      </x:c>
      <x:c r="G36" s="14" t="str">
        <x:f>"https://www.google.com/maps?q="&amp;TEXT(D36,"0.000000")&amp;","&amp;TEXT(E36,"0.000000")</x:f>
        <x:v>https://www.google.com/maps?q=-14.229580,31.709670</x:v>
      </x:c>
      <x:c r="H36" s="14" t="str">
        <x:v>WGS 84 / EPSG:4326</x:v>
      </x:c>
      <x:c r="I36" s="14" t="str">
        <x:v>District reference centroid</x:v>
      </x:c>
      <x:c r="J36" s="14" t="str">
        <x:v>Reference only—field verification recommended</x:v>
      </x:c>
      <x:c r="K36" s="14" t="str">
        <x:v>This is a district-level reference point, not a confirmed civic-centre or council-office entrance.</x:v>
      </x:c>
      <x:c r="L36" s="14" t="str">
        <x:v>https://github.com/repoxbeta/repox-countries/tree/main/src/metadata/countries/zm</x:v>
      </x:c>
    </x:row>
    <x:row r="37">
      <x:c r="A37" s="14" t="str">
        <x:v>Eastern</x:v>
      </x:c>
      <x:c r="B37" s="14" t="str">
        <x:v>Vubwi</x:v>
      </x:c>
      <x:c r="C37" s="14" t="str">
        <x:v>Vubwi</x:v>
      </x:c>
      <x:c r="D37" s="16" t="n">
        <x:v>-14.00612</x:v>
      </x:c>
      <x:c r="E37" s="16" t="n">
        <x:v>32.90254</x:v>
      </x:c>
      <x:c r="F37" s="14" t="str">
        <x:f>TEXT(D37,"0.000000")&amp;", "&amp;TEXT(E37,"0.000000")</x:f>
        <x:v>-14.006120, 32.902540</x:v>
      </x:c>
      <x:c r="G37" s="14" t="str">
        <x:f>"https://www.google.com/maps?q="&amp;TEXT(D37,"0.000000")&amp;","&amp;TEXT(E37,"0.000000")</x:f>
        <x:v>https://www.google.com/maps?q=-14.006120,32.902540</x:v>
      </x:c>
      <x:c r="H37" s="14" t="str">
        <x:v>WGS 84 / EPSG:4326</x:v>
      </x:c>
      <x:c r="I37" s="14" t="str">
        <x:v>District reference centroid</x:v>
      </x:c>
      <x:c r="J37" s="14" t="str">
        <x:v>Reference only—field verification recommended</x:v>
      </x:c>
      <x:c r="K37" s="14" t="str">
        <x:v>This is a district-level reference point, not a confirmed civic-centre or council-office entrance.</x:v>
      </x:c>
      <x:c r="L37" s="14" t="str">
        <x:v>https://github.com/repoxbeta/repox-countries/tree/main/src/metadata/countries/zm</x:v>
      </x:c>
    </x:row>
    <x:row r="38">
      <x:c r="A38" s="14" t="str">
        <x:v>Luapula</x:v>
      </x:c>
      <x:c r="B38" s="14" t="str">
        <x:v>Chembe</x:v>
      </x:c>
      <x:c r="C38" s="14" t="str">
        <x:v>Chembe</x:v>
      </x:c>
      <x:c r="D38" s="16" t="n">
        <x:v>-11.70652</x:v>
      </x:c>
      <x:c r="E38" s="16" t="n">
        <x:v>28.65445</x:v>
      </x:c>
      <x:c r="F38" s="14" t="str">
        <x:f>TEXT(D38,"0.000000")&amp;", "&amp;TEXT(E38,"0.000000")</x:f>
        <x:v>-11.706520, 28.654450</x:v>
      </x:c>
      <x:c r="G38" s="14" t="str">
        <x:f>"https://www.google.com/maps?q="&amp;TEXT(D38,"0.000000")&amp;","&amp;TEXT(E38,"0.000000")</x:f>
        <x:v>https://www.google.com/maps?q=-11.706520,28.654450</x:v>
      </x:c>
      <x:c r="H38" s="14" t="str">
        <x:v>WGS 84 / EPSG:4326</x:v>
      </x:c>
      <x:c r="I38" s="14" t="str">
        <x:v>District reference centroid</x:v>
      </x:c>
      <x:c r="J38" s="14" t="str">
        <x:v>Reference only—field verification recommended</x:v>
      </x:c>
      <x:c r="K38" s="14" t="str">
        <x:v>This is a district-level reference point, not a confirmed civic-centre or council-office entrance.</x:v>
      </x:c>
      <x:c r="L38" s="14" t="str">
        <x:v>https://github.com/repoxbeta/repox-countries/tree/main/src/metadata/countries/zm</x:v>
      </x:c>
    </x:row>
    <x:row r="39">
      <x:c r="A39" s="14" t="str">
        <x:v>Luapula</x:v>
      </x:c>
      <x:c r="B39" s="14" t="str">
        <x:v>Chiengi</x:v>
      </x:c>
      <x:c r="C39" s="14" t="str">
        <x:v>Chiengi</x:v>
      </x:c>
      <x:c r="D39" s="16" t="n">
        <x:v>-8.77369</x:v>
      </x:c>
      <x:c r="E39" s="16" t="n">
        <x:v>29.07954</x:v>
      </x:c>
      <x:c r="F39" s="14" t="str">
        <x:f>TEXT(D39,"0.000000")&amp;", "&amp;TEXT(E39,"0.000000")</x:f>
        <x:v>-8.773690, 29.079540</x:v>
      </x:c>
      <x:c r="G39" s="14" t="str">
        <x:f>"https://www.google.com/maps?q="&amp;TEXT(D39,"0.000000")&amp;","&amp;TEXT(E39,"0.000000")</x:f>
        <x:v>https://www.google.com/maps?q=-8.773690,29.079540</x:v>
      </x:c>
      <x:c r="H39" s="14" t="str">
        <x:v>WGS 84 / EPSG:4326</x:v>
      </x:c>
      <x:c r="I39" s="14" t="str">
        <x:v>District reference centroid</x:v>
      </x:c>
      <x:c r="J39" s="14" t="str">
        <x:v>Reference only—field verification recommended</x:v>
      </x:c>
      <x:c r="K39" s="14" t="str">
        <x:v>This is a district-level reference point, not a confirmed civic-centre or council-office entrance.</x:v>
      </x:c>
      <x:c r="L39" s="14" t="str">
        <x:v>https://github.com/repoxbeta/repox-countries/tree/main/src/metadata/countries/zm</x:v>
      </x:c>
    </x:row>
    <x:row r="40">
      <x:c r="A40" s="14" t="str">
        <x:v>Luapula</x:v>
      </x:c>
      <x:c r="B40" s="14" t="str">
        <x:v>Chifunabuli</x:v>
      </x:c>
      <x:c r="C40" s="14" t="str">
        <x:v>Lubwe</x:v>
      </x:c>
      <x:c r="D40" s="16" t="n">
        <x:v>-11.10851</x:v>
      </x:c>
      <x:c r="E40" s="16" t="n">
        <x:v>29.64072</x:v>
      </x:c>
      <x:c r="F40" s="14" t="str">
        <x:f>TEXT(D40,"0.000000")&amp;", "&amp;TEXT(E40,"0.000000")</x:f>
        <x:v>-11.108510, 29.640720</x:v>
      </x:c>
      <x:c r="G40" s="14" t="str">
        <x:f>"https://www.google.com/maps?q="&amp;TEXT(D40,"0.000000")&amp;","&amp;TEXT(E40,"0.000000")</x:f>
        <x:v>https://www.google.com/maps?q=-11.108510,29.640720</x:v>
      </x:c>
      <x:c r="H40" s="14" t="str">
        <x:v>WGS 84 / EPSG:4326</x:v>
      </x:c>
      <x:c r="I40" s="14" t="str">
        <x:v>Town/administrative point</x:v>
      </x:c>
      <x:c r="J40" s="14" t="str">
        <x:v>Lubwe is used as the district administrative centre</x:v>
      </x:c>
      <x:c r="K40" s="14" t="str"/>
      <x:c r="L40" s="14" t="str">
        <x:v>https://www.openstreetmap.org/</x:v>
      </x:c>
    </x:row>
    <x:row r="41">
      <x:c r="A41" s="14" t="str">
        <x:v>Luapula</x:v>
      </x:c>
      <x:c r="B41" s="14" t="str">
        <x:v>Chipili</x:v>
      </x:c>
      <x:c r="C41" s="14" t="str">
        <x:v>Chipili</x:v>
      </x:c>
      <x:c r="D41" s="16" t="n">
        <x:v>-10.38368</x:v>
      </x:c>
      <x:c r="E41" s="16" t="n">
        <x:v>29.12348</x:v>
      </x:c>
      <x:c r="F41" s="14" t="str">
        <x:f>TEXT(D41,"0.000000")&amp;", "&amp;TEXT(E41,"0.000000")</x:f>
        <x:v>-10.383680, 29.123480</x:v>
      </x:c>
      <x:c r="G41" s="14" t="str">
        <x:f>"https://www.google.com/maps?q="&amp;TEXT(D41,"0.000000")&amp;","&amp;TEXT(E41,"0.000000")</x:f>
        <x:v>https://www.google.com/maps?q=-10.383680,29.123480</x:v>
      </x:c>
      <x:c r="H41" s="14" t="str">
        <x:v>WGS 84 / EPSG:4326</x:v>
      </x:c>
      <x:c r="I41" s="14" t="str">
        <x:v>District reference centroid</x:v>
      </x:c>
      <x:c r="J41" s="14" t="str">
        <x:v>Reference only—field verification recommended</x:v>
      </x:c>
      <x:c r="K41" s="14" t="str">
        <x:v>This is a district-level reference point, not a confirmed civic-centre or council-office entrance.</x:v>
      </x:c>
      <x:c r="L41" s="14" t="str">
        <x:v>https://github.com/repoxbeta/repox-countries/tree/main/src/metadata/countries/zm</x:v>
      </x:c>
    </x:row>
    <x:row r="42">
      <x:c r="A42" s="14" t="str">
        <x:v>Luapula</x:v>
      </x:c>
      <x:c r="B42" s="14" t="str">
        <x:v>Kawambwa</x:v>
      </x:c>
      <x:c r="C42" s="14" t="str">
        <x:v>Kawambwa</x:v>
      </x:c>
      <x:c r="D42" s="16" t="n">
        <x:v>-9.7915</x:v>
      </x:c>
      <x:c r="E42" s="16" t="n">
        <x:v>29.0791</x:v>
      </x:c>
      <x:c r="F42" s="14" t="str">
        <x:f>TEXT(D42,"0.000000")&amp;", "&amp;TEXT(E42,"0.000000")</x:f>
        <x:v>-9.791500, 29.079100</x:v>
      </x:c>
      <x:c r="G42" s="14" t="str">
        <x:f>"https://www.google.com/maps?q="&amp;TEXT(D42,"0.000000")&amp;","&amp;TEXT(E42,"0.000000")</x:f>
        <x:v>https://www.google.com/maps?q=-9.791500,29.079100</x:v>
      </x:c>
      <x:c r="H42" s="14" t="str">
        <x:v>WGS 84 / EPSG:4326</x:v>
      </x:c>
      <x:c r="I42" s="14" t="str">
        <x:v>Town/administrative-centre point</x:v>
      </x:c>
      <x:c r="J42" s="14" t="str">
        <x:v>Gazetteer/reference point; not a building entrance</x:v>
      </x:c>
      <x:c r="K42" s="14" t="str"/>
      <x:c r="L42" s="14" t="str">
        <x:v>https://download.geonames.org/export/dump/</x:v>
      </x:c>
    </x:row>
    <x:row r="43">
      <x:c r="A43" s="14" t="str">
        <x:v>Luapula</x:v>
      </x:c>
      <x:c r="B43" s="14" t="str">
        <x:v>Lunga</x:v>
      </x:c>
      <x:c r="C43" s="14" t="str">
        <x:v>Lunga</x:v>
      </x:c>
      <x:c r="D43" s="16" t="n">
        <x:v>-11.53801</x:v>
      </x:c>
      <x:c r="E43" s="16" t="n">
        <x:v>30.09244</x:v>
      </x:c>
      <x:c r="F43" s="14" t="str">
        <x:f>TEXT(D43,"0.000000")&amp;", "&amp;TEXT(E43,"0.000000")</x:f>
        <x:v>-11.538010, 30.092440</x:v>
      </x:c>
      <x:c r="G43" s="14" t="str">
        <x:f>"https://www.google.com/maps?q="&amp;TEXT(D43,"0.000000")&amp;","&amp;TEXT(E43,"0.000000")</x:f>
        <x:v>https://www.google.com/maps?q=-11.538010,30.092440</x:v>
      </x:c>
      <x:c r="H43" s="14" t="str">
        <x:v>WGS 84 / EPSG:4326</x:v>
      </x:c>
      <x:c r="I43" s="14" t="str">
        <x:v>District reference centroid</x:v>
      </x:c>
      <x:c r="J43" s="14" t="str">
        <x:v>Reference only—field verification recommended</x:v>
      </x:c>
      <x:c r="K43" s="14" t="str">
        <x:v>This is a district-level reference point, not a confirmed civic-centre or council-office entrance.</x:v>
      </x:c>
      <x:c r="L43" s="14" t="str">
        <x:v>https://github.com/repoxbeta/repox-countries/tree/main/src/metadata/countries/zm</x:v>
      </x:c>
    </x:row>
    <x:row r="44">
      <x:c r="A44" s="14" t="str">
        <x:v>Luapula</x:v>
      </x:c>
      <x:c r="B44" s="14" t="str">
        <x:v>Mansa</x:v>
      </x:c>
      <x:c r="C44" s="14" t="str">
        <x:v>Mansa</x:v>
      </x:c>
      <x:c r="D44" s="16" t="n">
        <x:v>-11.1998</x:v>
      </x:c>
      <x:c r="E44" s="16" t="n">
        <x:v>28.8943</x:v>
      </x:c>
      <x:c r="F44" s="14" t="str">
        <x:f>TEXT(D44,"0.000000")&amp;", "&amp;TEXT(E44,"0.000000")</x:f>
        <x:v>-11.199800, 28.894300</x:v>
      </x:c>
      <x:c r="G44" s="14" t="str">
        <x:f>"https://www.google.com/maps?q="&amp;TEXT(D44,"0.000000")&amp;","&amp;TEXT(E44,"0.000000")</x:f>
        <x:v>https://www.google.com/maps?q=-11.199800,28.894300</x:v>
      </x:c>
      <x:c r="H44" s="14" t="str">
        <x:v>WGS 84 / EPSG:4326</x:v>
      </x:c>
      <x:c r="I44" s="14" t="str">
        <x:v>Town/administrative-centre point</x:v>
      </x:c>
      <x:c r="J44" s="14" t="str">
        <x:v>Gazetteer/reference point; not a building entrance</x:v>
      </x:c>
      <x:c r="K44" s="14" t="str"/>
      <x:c r="L44" s="14" t="str">
        <x:v>https://download.geonames.org/export/dump/</x:v>
      </x:c>
    </x:row>
    <x:row r="45">
      <x:c r="A45" s="14" t="str">
        <x:v>Luapula</x:v>
      </x:c>
      <x:c r="B45" s="14" t="str">
        <x:v>Milenge</x:v>
      </x:c>
      <x:c r="C45" s="14" t="str">
        <x:v>Milenge</x:v>
      </x:c>
      <x:c r="D45" s="16" t="n">
        <x:v>-11.84879</x:v>
      </x:c>
      <x:c r="E45" s="16" t="n">
        <x:v>29.16806</x:v>
      </x:c>
      <x:c r="F45" s="14" t="str">
        <x:f>TEXT(D45,"0.000000")&amp;", "&amp;TEXT(E45,"0.000000")</x:f>
        <x:v>-11.848790, 29.168060</x:v>
      </x:c>
      <x:c r="G45" s="14" t="str">
        <x:f>"https://www.google.com/maps?q="&amp;TEXT(D45,"0.000000")&amp;","&amp;TEXT(E45,"0.000000")</x:f>
        <x:v>https://www.google.com/maps?q=-11.848790,29.168060</x:v>
      </x:c>
      <x:c r="H45" s="14" t="str">
        <x:v>WGS 84 / EPSG:4326</x:v>
      </x:c>
      <x:c r="I45" s="14" t="str">
        <x:v>District reference centroid</x:v>
      </x:c>
      <x:c r="J45" s="14" t="str">
        <x:v>Reference only—field verification recommended</x:v>
      </x:c>
      <x:c r="K45" s="14" t="str">
        <x:v>This is a district-level reference point, not a confirmed civic-centre or council-office entrance.</x:v>
      </x:c>
      <x:c r="L45" s="14" t="str">
        <x:v>https://github.com/repoxbeta/repox-countries/tree/main/src/metadata/countries/zm</x:v>
      </x:c>
    </x:row>
    <x:row r="46">
      <x:c r="A46" s="14" t="str">
        <x:v>Luapula</x:v>
      </x:c>
      <x:c r="B46" s="14" t="str">
        <x:v>Mwansabombwe</x:v>
      </x:c>
      <x:c r="C46" s="14" t="str">
        <x:v>Mwansabombwe</x:v>
      </x:c>
      <x:c r="D46" s="16" t="n">
        <x:v>-9.87814</x:v>
      </x:c>
      <x:c r="E46" s="16" t="n">
        <x:v>28.78084</x:v>
      </x:c>
      <x:c r="F46" s="14" t="str">
        <x:f>TEXT(D46,"0.000000")&amp;", "&amp;TEXT(E46,"0.000000")</x:f>
        <x:v>-9.878140, 28.780840</x:v>
      </x:c>
      <x:c r="G46" s="14" t="str">
        <x:f>"https://www.google.com/maps?q="&amp;TEXT(D46,"0.000000")&amp;","&amp;TEXT(E46,"0.000000")</x:f>
        <x:v>https://www.google.com/maps?q=-9.878140,28.780840</x:v>
      </x:c>
      <x:c r="H46" s="14" t="str">
        <x:v>WGS 84 / EPSG:4326</x:v>
      </x:c>
      <x:c r="I46" s="14" t="str">
        <x:v>District reference centroid</x:v>
      </x:c>
      <x:c r="J46" s="14" t="str">
        <x:v>Reference only—field verification recommended</x:v>
      </x:c>
      <x:c r="K46" s="14" t="str">
        <x:v>This is a district-level reference point, not a confirmed civic-centre or council-office entrance.</x:v>
      </x:c>
      <x:c r="L46" s="14" t="str">
        <x:v>https://github.com/repoxbeta/repox-countries/tree/main/src/metadata/countries/zm</x:v>
      </x:c>
    </x:row>
    <x:row r="47">
      <x:c r="A47" s="14" t="str">
        <x:v>Luapula</x:v>
      </x:c>
      <x:c r="B47" s="14" t="str">
        <x:v>Mwense</x:v>
      </x:c>
      <x:c r="C47" s="14" t="str">
        <x:v>Mwense</x:v>
      </x:c>
      <x:c r="D47" s="16" t="n">
        <x:v>-10.43985</x:v>
      </x:c>
      <x:c r="E47" s="16" t="n">
        <x:v>28.73309</x:v>
      </x:c>
      <x:c r="F47" s="14" t="str">
        <x:f>TEXT(D47,"0.000000")&amp;", "&amp;TEXT(E47,"0.000000")</x:f>
        <x:v>-10.439850, 28.733090</x:v>
      </x:c>
      <x:c r="G47" s="14" t="str">
        <x:f>"https://www.google.com/maps?q="&amp;TEXT(D47,"0.000000")&amp;","&amp;TEXT(E47,"0.000000")</x:f>
        <x:v>https://www.google.com/maps?q=-10.439850,28.733090</x:v>
      </x:c>
      <x:c r="H47" s="14" t="str">
        <x:v>WGS 84 / EPSG:4326</x:v>
      </x:c>
      <x:c r="I47" s="14" t="str">
        <x:v>District reference centroid</x:v>
      </x:c>
      <x:c r="J47" s="14" t="str">
        <x:v>Reference only—field verification recommended</x:v>
      </x:c>
      <x:c r="K47" s="14" t="str">
        <x:v>This is a district-level reference point, not a confirmed civic-centre or council-office entrance.</x:v>
      </x:c>
      <x:c r="L47" s="14" t="str">
        <x:v>https://github.com/repoxbeta/repox-countries/tree/main/src/metadata/countries/zm</x:v>
      </x:c>
    </x:row>
    <x:row r="48">
      <x:c r="A48" s="14" t="str">
        <x:v>Luapula</x:v>
      </x:c>
      <x:c r="B48" s="14" t="str">
        <x:v>Nchelenge</x:v>
      </x:c>
      <x:c r="C48" s="14" t="str">
        <x:v>Nchelenge</x:v>
      </x:c>
      <x:c r="D48" s="16" t="n">
        <x:v>-9.34506</x:v>
      </x:c>
      <x:c r="E48" s="16" t="n">
        <x:v>28.734</x:v>
      </x:c>
      <x:c r="F48" s="14" t="str">
        <x:f>TEXT(D48,"0.000000")&amp;", "&amp;TEXT(E48,"0.000000")</x:f>
        <x:v>-9.345060, 28.734000</x:v>
      </x:c>
      <x:c r="G48" s="14" t="str">
        <x:f>"https://www.google.com/maps?q="&amp;TEXT(D48,"0.000000")&amp;","&amp;TEXT(E48,"0.000000")</x:f>
        <x:v>https://www.google.com/maps?q=-9.345060,28.734000</x:v>
      </x:c>
      <x:c r="H48" s="14" t="str">
        <x:v>WGS 84 / EPSG:4326</x:v>
      </x:c>
      <x:c r="I48" s="14" t="str">
        <x:v>Town/administrative-centre point</x:v>
      </x:c>
      <x:c r="J48" s="14" t="str">
        <x:v>Gazetteer/reference point; not a building entrance</x:v>
      </x:c>
      <x:c r="K48" s="14" t="str"/>
      <x:c r="L48" s="14" t="str">
        <x:v>https://download.geonames.org/export/dump/</x:v>
      </x:c>
    </x:row>
    <x:row r="49">
      <x:c r="A49" s="14" t="str">
        <x:v>Luapula</x:v>
      </x:c>
      <x:c r="B49" s="14" t="str">
        <x:v>Samfya</x:v>
      </x:c>
      <x:c r="C49" s="14" t="str">
        <x:v>Samfya</x:v>
      </x:c>
      <x:c r="D49" s="16" t="n">
        <x:v>-11.3649</x:v>
      </x:c>
      <x:c r="E49" s="16" t="n">
        <x:v>29.5565</x:v>
      </x:c>
      <x:c r="F49" s="14" t="str">
        <x:f>TEXT(D49,"0.000000")&amp;", "&amp;TEXT(E49,"0.000000")</x:f>
        <x:v>-11.364900, 29.556500</x:v>
      </x:c>
      <x:c r="G49" s="14" t="str">
        <x:f>"https://www.google.com/maps?q="&amp;TEXT(D49,"0.000000")&amp;","&amp;TEXT(E49,"0.000000")</x:f>
        <x:v>https://www.google.com/maps?q=-11.364900,29.556500</x:v>
      </x:c>
      <x:c r="H49" s="14" t="str">
        <x:v>WGS 84 / EPSG:4326</x:v>
      </x:c>
      <x:c r="I49" s="14" t="str">
        <x:v>Town/administrative-centre point</x:v>
      </x:c>
      <x:c r="J49" s="14" t="str">
        <x:v>Gazetteer/reference point; not a building entrance</x:v>
      </x:c>
      <x:c r="K49" s="14" t="str"/>
      <x:c r="L49" s="14" t="str">
        <x:v>https://download.geonames.org/export/dump/</x:v>
      </x:c>
    </x:row>
    <x:row r="50">
      <x:c r="A50" s="14" t="str">
        <x:v>Lusaka</x:v>
      </x:c>
      <x:c r="B50" s="14" t="str">
        <x:v>Chilanga</x:v>
      </x:c>
      <x:c r="C50" s="14" t="str">
        <x:v>Chilanga</x:v>
      </x:c>
      <x:c r="D50" s="16" t="n">
        <x:v>-15.45131</x:v>
      </x:c>
      <x:c r="E50" s="16" t="n">
        <x:v>28.07776</x:v>
      </x:c>
      <x:c r="F50" s="14" t="str">
        <x:f>TEXT(D50,"0.000000")&amp;", "&amp;TEXT(E50,"0.000000")</x:f>
        <x:v>-15.451310, 28.077760</x:v>
      </x:c>
      <x:c r="G50" s="14" t="str">
        <x:f>"https://www.google.com/maps?q="&amp;TEXT(D50,"0.000000")&amp;","&amp;TEXT(E50,"0.000000")</x:f>
        <x:v>https://www.google.com/maps?q=-15.451310,28.077760</x:v>
      </x:c>
      <x:c r="H50" s="14" t="str">
        <x:v>WGS 84 / EPSG:4326</x:v>
      </x:c>
      <x:c r="I50" s="14" t="str">
        <x:v>District reference centroid</x:v>
      </x:c>
      <x:c r="J50" s="14" t="str">
        <x:v>Reference only—field verification recommended</x:v>
      </x:c>
      <x:c r="K50" s="14" t="str">
        <x:v>This is a district-level reference point, not a confirmed civic-centre or council-office entrance.</x:v>
      </x:c>
      <x:c r="L50" s="14" t="str">
        <x:v>https://github.com/repoxbeta/repox-countries/tree/main/src/metadata/countries/zm</x:v>
      </x:c>
    </x:row>
    <x:row r="51">
      <x:c r="A51" s="14" t="str">
        <x:v>Lusaka</x:v>
      </x:c>
      <x:c r="B51" s="14" t="str">
        <x:v>Chongwe</x:v>
      </x:c>
      <x:c r="C51" s="14" t="str">
        <x:v>Chongwe</x:v>
      </x:c>
      <x:c r="D51" s="16" t="n">
        <x:v>-15.3292</x:v>
      </x:c>
      <x:c r="E51" s="16" t="n">
        <x:v>28.682</x:v>
      </x:c>
      <x:c r="F51" s="14" t="str">
        <x:f>TEXT(D51,"0.000000")&amp;", "&amp;TEXT(E51,"0.000000")</x:f>
        <x:v>-15.329200, 28.682000</x:v>
      </x:c>
      <x:c r="G51" s="14" t="str">
        <x:f>"https://www.google.com/maps?q="&amp;TEXT(D51,"0.000000")&amp;","&amp;TEXT(E51,"0.000000")</x:f>
        <x:v>https://www.google.com/maps?q=-15.329200,28.682000</x:v>
      </x:c>
      <x:c r="H51" s="14" t="str">
        <x:v>WGS 84 / EPSG:4326</x:v>
      </x:c>
      <x:c r="I51" s="14" t="str">
        <x:v>Town/administrative-centre point</x:v>
      </x:c>
      <x:c r="J51" s="14" t="str">
        <x:v>Gazetteer/reference point; not a building entrance</x:v>
      </x:c>
      <x:c r="K51" s="14" t="str"/>
      <x:c r="L51" s="14" t="str">
        <x:v>https://download.geonames.org/export/dump/</x:v>
      </x:c>
    </x:row>
    <x:row r="52">
      <x:c r="A52" s="14" t="str">
        <x:v>Lusaka</x:v>
      </x:c>
      <x:c r="B52" s="14" t="str">
        <x:v>Kafue</x:v>
      </x:c>
      <x:c r="C52" s="14" t="str">
        <x:v>Kafue</x:v>
      </x:c>
      <x:c r="D52" s="16" t="n">
        <x:v>-15.7691</x:v>
      </x:c>
      <x:c r="E52" s="16" t="n">
        <x:v>28.1814</x:v>
      </x:c>
      <x:c r="F52" s="14" t="str">
        <x:f>TEXT(D52,"0.000000")&amp;", "&amp;TEXT(E52,"0.000000")</x:f>
        <x:v>-15.769100, 28.181400</x:v>
      </x:c>
      <x:c r="G52" s="14" t="str">
        <x:f>"https://www.google.com/maps?q="&amp;TEXT(D52,"0.000000")&amp;","&amp;TEXT(E52,"0.000000")</x:f>
        <x:v>https://www.google.com/maps?q=-15.769100,28.181400</x:v>
      </x:c>
      <x:c r="H52" s="14" t="str">
        <x:v>WGS 84 / EPSG:4326</x:v>
      </x:c>
      <x:c r="I52" s="14" t="str">
        <x:v>Town/administrative-centre point</x:v>
      </x:c>
      <x:c r="J52" s="14" t="str">
        <x:v>Gazetteer/reference point; not a building entrance</x:v>
      </x:c>
      <x:c r="K52" s="14" t="str"/>
      <x:c r="L52" s="14" t="str">
        <x:v>https://download.geonames.org/export/dump/</x:v>
      </x:c>
    </x:row>
    <x:row r="53">
      <x:c r="A53" s="14" t="str">
        <x:v>Lusaka</x:v>
      </x:c>
      <x:c r="B53" s="14" t="str">
        <x:v>Luangwa</x:v>
      </x:c>
      <x:c r="C53" s="14" t="str">
        <x:v>Luangwa</x:v>
      </x:c>
      <x:c r="D53" s="16" t="n">
        <x:v>-15.41487</x:v>
      </x:c>
      <x:c r="E53" s="16" t="n">
        <x:v>30.01031</x:v>
      </x:c>
      <x:c r="F53" s="14" t="str">
        <x:f>TEXT(D53,"0.000000")&amp;", "&amp;TEXT(E53,"0.000000")</x:f>
        <x:v>-15.414870, 30.010310</x:v>
      </x:c>
      <x:c r="G53" s="14" t="str">
        <x:f>"https://www.google.com/maps?q="&amp;TEXT(D53,"0.000000")&amp;","&amp;TEXT(E53,"0.000000")</x:f>
        <x:v>https://www.google.com/maps?q=-15.414870,30.010310</x:v>
      </x:c>
      <x:c r="H53" s="14" t="str">
        <x:v>WGS 84 / EPSG:4326</x:v>
      </x:c>
      <x:c r="I53" s="14" t="str">
        <x:v>District reference centroid</x:v>
      </x:c>
      <x:c r="J53" s="14" t="str">
        <x:v>Reference only—field verification recommended</x:v>
      </x:c>
      <x:c r="K53" s="14" t="str">
        <x:v>This is a district-level reference point, not a confirmed civic-centre or council-office entrance.</x:v>
      </x:c>
      <x:c r="L53" s="14" t="str">
        <x:v>https://github.com/repoxbeta/repox-countries/tree/main/src/metadata/countries/zm</x:v>
      </x:c>
    </x:row>
    <x:row r="54">
      <x:c r="A54" s="14" t="str">
        <x:v>Lusaka</x:v>
      </x:c>
      <x:c r="B54" s="14" t="str">
        <x:v>Lusaka</x:v>
      </x:c>
      <x:c r="C54" s="14" t="str">
        <x:v>Lusaka</x:v>
      </x:c>
      <x:c r="D54" s="16" t="n">
        <x:v>-15.4067</x:v>
      </x:c>
      <x:c r="E54" s="16" t="n">
        <x:v>28.2871</x:v>
      </x:c>
      <x:c r="F54" s="14" t="str">
        <x:f>TEXT(D54,"0.000000")&amp;", "&amp;TEXT(E54,"0.000000")</x:f>
        <x:v>-15.406700, 28.287100</x:v>
      </x:c>
      <x:c r="G54" s="14" t="str">
        <x:f>"https://www.google.com/maps?q="&amp;TEXT(D54,"0.000000")&amp;","&amp;TEXT(E54,"0.000000")</x:f>
        <x:v>https://www.google.com/maps?q=-15.406700,28.287100</x:v>
      </x:c>
      <x:c r="H54" s="14" t="str">
        <x:v>WGS 84 / EPSG:4326</x:v>
      </x:c>
      <x:c r="I54" s="14" t="str">
        <x:v>Town/administrative-centre point</x:v>
      </x:c>
      <x:c r="J54" s="14" t="str">
        <x:v>Gazetteer/reference point; not a building entrance</x:v>
      </x:c>
      <x:c r="K54" s="14" t="str"/>
      <x:c r="L54" s="14" t="str">
        <x:v>https://download.geonames.org/export/dump/</x:v>
      </x:c>
    </x:row>
    <x:row r="55">
      <x:c r="A55" s="14" t="str">
        <x:v>Lusaka</x:v>
      </x:c>
      <x:c r="B55" s="14" t="str">
        <x:v>Rufunsa</x:v>
      </x:c>
      <x:c r="C55" s="14" t="str">
        <x:v>Rufunsa</x:v>
      </x:c>
      <x:c r="D55" s="16" t="n">
        <x:v>-15.14901</x:v>
      </x:c>
      <x:c r="E55" s="16" t="n">
        <x:v>29.52447</x:v>
      </x:c>
      <x:c r="F55" s="14" t="str">
        <x:f>TEXT(D55,"0.000000")&amp;", "&amp;TEXT(E55,"0.000000")</x:f>
        <x:v>-15.149010, 29.524470</x:v>
      </x:c>
      <x:c r="G55" s="14" t="str">
        <x:f>"https://www.google.com/maps?q="&amp;TEXT(D55,"0.000000")&amp;","&amp;TEXT(E55,"0.000000")</x:f>
        <x:v>https://www.google.com/maps?q=-15.149010,29.524470</x:v>
      </x:c>
      <x:c r="H55" s="14" t="str">
        <x:v>WGS 84 / EPSG:4326</x:v>
      </x:c>
      <x:c r="I55" s="14" t="str">
        <x:v>District reference centroid</x:v>
      </x:c>
      <x:c r="J55" s="14" t="str">
        <x:v>Reference only—field verification recommended</x:v>
      </x:c>
      <x:c r="K55" s="14" t="str">
        <x:v>This is a district-level reference point, not a confirmed civic-centre or council-office entrance.</x:v>
      </x:c>
      <x:c r="L55" s="14" t="str">
        <x:v>https://github.com/repoxbeta/repox-countries/tree/main/src/metadata/countries/zm</x:v>
      </x:c>
    </x:row>
    <x:row r="56">
      <x:c r="A56" s="14" t="str">
        <x:v>Muchinga</x:v>
      </x:c>
      <x:c r="B56" s="14" t="str">
        <x:v>Chinsali</x:v>
      </x:c>
      <x:c r="C56" s="14" t="str">
        <x:v>Chinsali</x:v>
      </x:c>
      <x:c r="D56" s="16" t="n">
        <x:v>-10.5414</x:v>
      </x:c>
      <x:c r="E56" s="16" t="n">
        <x:v>32.0816</x:v>
      </x:c>
      <x:c r="F56" s="14" t="str">
        <x:f>TEXT(D56,"0.000000")&amp;", "&amp;TEXT(E56,"0.000000")</x:f>
        <x:v>-10.541400, 32.081600</x:v>
      </x:c>
      <x:c r="G56" s="14" t="str">
        <x:f>"https://www.google.com/maps?q="&amp;TEXT(D56,"0.000000")&amp;","&amp;TEXT(E56,"0.000000")</x:f>
        <x:v>https://www.google.com/maps?q=-10.541400,32.081600</x:v>
      </x:c>
      <x:c r="H56" s="14" t="str">
        <x:v>WGS 84 / EPSG:4326</x:v>
      </x:c>
      <x:c r="I56" s="14" t="str">
        <x:v>Town/administrative-centre point</x:v>
      </x:c>
      <x:c r="J56" s="14" t="str">
        <x:v>Gazetteer/reference point; not a building entrance</x:v>
      </x:c>
      <x:c r="K56" s="14" t="str"/>
      <x:c r="L56" s="14" t="str">
        <x:v>https://download.geonames.org/export/dump/</x:v>
      </x:c>
    </x:row>
    <x:row r="57">
      <x:c r="A57" s="14" t="str">
        <x:v>Muchinga</x:v>
      </x:c>
      <x:c r="B57" s="14" t="str">
        <x:v>Isoka</x:v>
      </x:c>
      <x:c r="C57" s="14" t="str">
        <x:v>Isoka</x:v>
      </x:c>
      <x:c r="D57" s="16" t="n">
        <x:v>-10.1606</x:v>
      </x:c>
      <x:c r="E57" s="16" t="n">
        <x:v>32.6335</x:v>
      </x:c>
      <x:c r="F57" s="14" t="str">
        <x:f>TEXT(D57,"0.000000")&amp;", "&amp;TEXT(E57,"0.000000")</x:f>
        <x:v>-10.160600, 32.633500</x:v>
      </x:c>
      <x:c r="G57" s="14" t="str">
        <x:f>"https://www.google.com/maps?q="&amp;TEXT(D57,"0.000000")&amp;","&amp;TEXT(E57,"0.000000")</x:f>
        <x:v>https://www.google.com/maps?q=-10.160600,32.633500</x:v>
      </x:c>
      <x:c r="H57" s="14" t="str">
        <x:v>WGS 84 / EPSG:4326</x:v>
      </x:c>
      <x:c r="I57" s="14" t="str">
        <x:v>Town/administrative-centre point</x:v>
      </x:c>
      <x:c r="J57" s="14" t="str">
        <x:v>Gazetteer/reference point; not a building entrance</x:v>
      </x:c>
      <x:c r="K57" s="14" t="str"/>
      <x:c r="L57" s="14" t="str">
        <x:v>https://download.geonames.org/export/dump/</x:v>
      </x:c>
    </x:row>
    <x:row r="58">
      <x:c r="A58" s="14" t="str">
        <x:v>Muchinga</x:v>
      </x:c>
      <x:c r="B58" s="14" t="str">
        <x:v>Kanchibiya</x:v>
      </x:c>
      <x:c r="C58" s="14" t="str">
        <x:v>Kanchibiya</x:v>
      </x:c>
      <x:c r="D58" s="16" t="n">
        <x:v>-11.9</x:v>
      </x:c>
      <x:c r="E58" s="16" t="n">
        <x:v>31.2667</x:v>
      </x:c>
      <x:c r="F58" s="14" t="str">
        <x:f>TEXT(D58,"0.000000")&amp;", "&amp;TEXT(E58,"0.000000")</x:f>
        <x:v>-11.900000, 31.266700</x:v>
      </x:c>
      <x:c r="G58" s="14" t="str">
        <x:f>"https://www.google.com/maps?q="&amp;TEXT(D58,"0.000000")&amp;","&amp;TEXT(E58,"0.000000")</x:f>
        <x:v>https://www.google.com/maps?q=-11.900000,31.266700</x:v>
      </x:c>
      <x:c r="H58" s="14" t="str">
        <x:v>WGS 84 / EPSG:4326</x:v>
      </x:c>
      <x:c r="I58" s="14" t="str">
        <x:v>Administrative-centre reference</x:v>
      </x:c>
      <x:c r="J58" s="14" t="str">
        <x:v>Approximate administrative-centre point; verify council entrance before navigation</x:v>
      </x:c>
      <x:c r="K58" s="14" t="str"/>
      <x:c r="L58" s="14" t="str">
        <x:v>https://www.kanchibiyacouncil.gov.zm/</x:v>
      </x:c>
    </x:row>
    <x:row r="59">
      <x:c r="A59" s="14" t="str">
        <x:v>Muchinga</x:v>
      </x:c>
      <x:c r="B59" s="14" t="str">
        <x:v>Lavushimanda</x:v>
      </x:c>
      <x:c r="C59" s="14" t="str">
        <x:v>Kalonje</x:v>
      </x:c>
      <x:c r="D59" s="16" t="n">
        <x:v>-12.67453</x:v>
      </x:c>
      <x:c r="E59" s="16" t="n">
        <x:v>31.00936</x:v>
      </x:c>
      <x:c r="F59" s="14" t="str">
        <x:f>TEXT(D59,"0.000000")&amp;", "&amp;TEXT(E59,"0.000000")</x:f>
        <x:v>-12.674530, 31.009360</x:v>
      </x:c>
      <x:c r="G59" s="14" t="str">
        <x:f>"https://www.google.com/maps?q="&amp;TEXT(D59,"0.000000")&amp;","&amp;TEXT(E59,"0.000000")</x:f>
        <x:v>https://www.google.com/maps?q=-12.674530,31.009360</x:v>
      </x:c>
      <x:c r="H59" s="14" t="str">
        <x:v>WGS 84 / EPSG:4326</x:v>
      </x:c>
      <x:c r="I59" s="14" t="str">
        <x:v>Administrative-area reference</x:v>
      </x:c>
      <x:c r="J59" s="14" t="str">
        <x:v>Official administrative centre is Kalonje; coordinate is an approximate locality reference</x:v>
      </x:c>
      <x:c r="K59" s="14" t="str">
        <x:v>Official council information identifies Kalonje as the administrative centre.</x:v>
      </x:c>
      <x:c r="L59" s="14" t="str">
        <x:v>https://www.lavushimandacouncil.gov.zm/?page_id=118</x:v>
      </x:c>
    </x:row>
    <x:row r="60">
      <x:c r="A60" s="14" t="str">
        <x:v>Muchinga</x:v>
      </x:c>
      <x:c r="B60" s="14" t="str">
        <x:v>Mafinga</x:v>
      </x:c>
      <x:c r="C60" s="14" t="str">
        <x:v>Muyombe / Mafinga</x:v>
      </x:c>
      <x:c r="D60" s="16" t="n">
        <x:v>-10.37647</x:v>
      </x:c>
      <x:c r="E60" s="16" t="n">
        <x:v>33.39867</x:v>
      </x:c>
      <x:c r="F60" s="14" t="str">
        <x:f>TEXT(D60,"0.000000")&amp;", "&amp;TEXT(E60,"0.000000")</x:f>
        <x:v>-10.376470, 33.398670</x:v>
      </x:c>
      <x:c r="G60" s="14" t="str">
        <x:f>"https://www.google.com/maps?q="&amp;TEXT(D60,"0.000000")&amp;","&amp;TEXT(E60,"0.000000")</x:f>
        <x:v>https://www.google.com/maps?q=-10.376470,33.398670</x:v>
      </x:c>
      <x:c r="H60" s="14" t="str">
        <x:v>WGS 84 / EPSG:4326</x:v>
      </x:c>
      <x:c r="I60" s="14" t="str">
        <x:v>District reference centroid</x:v>
      </x:c>
      <x:c r="J60" s="14" t="str">
        <x:v>Reference only—field verification recommended</x:v>
      </x:c>
      <x:c r="K60" s="14" t="str">
        <x:v>Muyombe is the principal settlement associated with Mafinga District; coordinate shown is a district reference.</x:v>
      </x:c>
      <x:c r="L60" s="14" t="str">
        <x:v>https://github.com/repoxbeta/repox-countries/tree/main/src/metadata/countries/zm</x:v>
      </x:c>
    </x:row>
    <x:row r="61">
      <x:c r="A61" s="14" t="str">
        <x:v>Muchinga</x:v>
      </x:c>
      <x:c r="B61" s="14" t="str">
        <x:v>Mpika</x:v>
      </x:c>
      <x:c r="C61" s="14" t="str">
        <x:v>Mpika</x:v>
      </x:c>
      <x:c r="D61" s="16" t="n">
        <x:v>-11.8343</x:v>
      </x:c>
      <x:c r="E61" s="16" t="n">
        <x:v>31.4529</x:v>
      </x:c>
      <x:c r="F61" s="14" t="str">
        <x:f>TEXT(D61,"0.000000")&amp;", "&amp;TEXT(E61,"0.000000")</x:f>
        <x:v>-11.834300, 31.452900</x:v>
      </x:c>
      <x:c r="G61" s="14" t="str">
        <x:f>"https://www.google.com/maps?q="&amp;TEXT(D61,"0.000000")&amp;","&amp;TEXT(E61,"0.000000")</x:f>
        <x:v>https://www.google.com/maps?q=-11.834300,31.452900</x:v>
      </x:c>
      <x:c r="H61" s="14" t="str">
        <x:v>WGS 84 / EPSG:4326</x:v>
      </x:c>
      <x:c r="I61" s="14" t="str">
        <x:v>Town/administrative-centre point</x:v>
      </x:c>
      <x:c r="J61" s="14" t="str">
        <x:v>Gazetteer/reference point; not a building entrance</x:v>
      </x:c>
      <x:c r="K61" s="14" t="str"/>
      <x:c r="L61" s="14" t="str">
        <x:v>https://download.geonames.org/export/dump/</x:v>
      </x:c>
    </x:row>
    <x:row r="62">
      <x:c r="A62" s="14" t="str">
        <x:v>Muchinga</x:v>
      </x:c>
      <x:c r="B62" s="14" t="str">
        <x:v>Nakonde</x:v>
      </x:c>
      <x:c r="C62" s="14" t="str">
        <x:v>Nakonde</x:v>
      </x:c>
      <x:c r="D62" s="16" t="n">
        <x:v>-9.34213</x:v>
      </x:c>
      <x:c r="E62" s="16" t="n">
        <x:v>32.745</x:v>
      </x:c>
      <x:c r="F62" s="14" t="str">
        <x:f>TEXT(D62,"0.000000")&amp;", "&amp;TEXT(E62,"0.000000")</x:f>
        <x:v>-9.342130, 32.745000</x:v>
      </x:c>
      <x:c r="G62" s="14" t="str">
        <x:f>"https://www.google.com/maps?q="&amp;TEXT(D62,"0.000000")&amp;","&amp;TEXT(E62,"0.000000")</x:f>
        <x:v>https://www.google.com/maps?q=-9.342130,32.745000</x:v>
      </x:c>
      <x:c r="H62" s="14" t="str">
        <x:v>WGS 84 / EPSG:4326</x:v>
      </x:c>
      <x:c r="I62" s="14" t="str">
        <x:v>Town/administrative-centre point</x:v>
      </x:c>
      <x:c r="J62" s="14" t="str">
        <x:v>Gazetteer/reference point; not a building entrance</x:v>
      </x:c>
      <x:c r="K62" s="14" t="str"/>
      <x:c r="L62" s="14" t="str">
        <x:v>https://download.geonames.org/export/dump/</x:v>
      </x:c>
    </x:row>
    <x:row r="63">
      <x:c r="A63" s="14" t="str">
        <x:v>Muchinga</x:v>
      </x:c>
      <x:c r="B63" s="14" t="str">
        <x:v>Shiwang'andu</x:v>
      </x:c>
      <x:c r="C63" s="14" t="str">
        <x:v>Shiwang'andu</x:v>
      </x:c>
      <x:c r="D63" s="16" t="n">
        <x:v>-10.98893</x:v>
      </x:c>
      <x:c r="E63" s="16" t="n">
        <x:v>31.69332</x:v>
      </x:c>
      <x:c r="F63" s="14" t="str">
        <x:f>TEXT(D63,"0.000000")&amp;", "&amp;TEXT(E63,"0.000000")</x:f>
        <x:v>-10.988930, 31.693320</x:v>
      </x:c>
      <x:c r="G63" s="14" t="str">
        <x:f>"https://www.google.com/maps?q="&amp;TEXT(D63,"0.000000")&amp;","&amp;TEXT(E63,"0.000000")</x:f>
        <x:v>https://www.google.com/maps?q=-10.988930,31.693320</x:v>
      </x:c>
      <x:c r="H63" s="14" t="str">
        <x:v>WGS 84 / EPSG:4326</x:v>
      </x:c>
      <x:c r="I63" s="14" t="str">
        <x:v>District reference centroid</x:v>
      </x:c>
      <x:c r="J63" s="14" t="str">
        <x:v>Reference only—field verification recommended</x:v>
      </x:c>
      <x:c r="K63" s="14" t="str">
        <x:v>This is a district-level reference point, not a confirmed civic-centre or council-office entrance.</x:v>
      </x:c>
      <x:c r="L63" s="14" t="str">
        <x:v>https://github.com/repoxbeta/repox-countries/tree/main/src/metadata/countries/zm</x:v>
      </x:c>
    </x:row>
    <x:row r="64">
      <x:c r="A64" s="14" t="str">
        <x:v>Northern</x:v>
      </x:c>
      <x:c r="B64" s="14" t="str">
        <x:v>Chilubi</x:v>
      </x:c>
      <x:c r="C64" s="14" t="str">
        <x:v>Chilubi</x:v>
      </x:c>
      <x:c r="D64" s="16" t="n">
        <x:v>-11.03808</x:v>
      </x:c>
      <x:c r="E64" s="16" t="n">
        <x:v>30.26299</x:v>
      </x:c>
      <x:c r="F64" s="14" t="str">
        <x:f>TEXT(D64,"0.000000")&amp;", "&amp;TEXT(E64,"0.000000")</x:f>
        <x:v>-11.038080, 30.262990</x:v>
      </x:c>
      <x:c r="G64" s="14" t="str">
        <x:f>"https://www.google.com/maps?q="&amp;TEXT(D64,"0.000000")&amp;","&amp;TEXT(E64,"0.000000")</x:f>
        <x:v>https://www.google.com/maps?q=-11.038080,30.262990</x:v>
      </x:c>
      <x:c r="H64" s="14" t="str">
        <x:v>WGS 84 / EPSG:4326</x:v>
      </x:c>
      <x:c r="I64" s="14" t="str">
        <x:v>District reference centroid</x:v>
      </x:c>
      <x:c r="J64" s="14" t="str">
        <x:v>Reference only—field verification recommended</x:v>
      </x:c>
      <x:c r="K64" s="14" t="str">
        <x:v>This is a district-level reference point, not a confirmed civic-centre or council-office entrance.</x:v>
      </x:c>
      <x:c r="L64" s="14" t="str">
        <x:v>https://github.com/repoxbeta/repox-countries/tree/main/src/metadata/countries/zm</x:v>
      </x:c>
    </x:row>
    <x:row r="65">
      <x:c r="A65" s="14" t="str">
        <x:v>Northern</x:v>
      </x:c>
      <x:c r="B65" s="14" t="str">
        <x:v>Kaputa</x:v>
      </x:c>
      <x:c r="C65" s="14" t="str">
        <x:v>Kaputa</x:v>
      </x:c>
      <x:c r="D65" s="16" t="n">
        <x:v>-8.7505</x:v>
      </x:c>
      <x:c r="E65" s="16" t="n">
        <x:v>29.43523</x:v>
      </x:c>
      <x:c r="F65" s="14" t="str">
        <x:f>TEXT(D65,"0.000000")&amp;", "&amp;TEXT(E65,"0.000000")</x:f>
        <x:v>-8.750500, 29.435230</x:v>
      </x:c>
      <x:c r="G65" s="14" t="str">
        <x:f>"https://www.google.com/maps?q="&amp;TEXT(D65,"0.000000")&amp;","&amp;TEXT(E65,"0.000000")</x:f>
        <x:v>https://www.google.com/maps?q=-8.750500,29.435230</x:v>
      </x:c>
      <x:c r="H65" s="14" t="str">
        <x:v>WGS 84 / EPSG:4326</x:v>
      </x:c>
      <x:c r="I65" s="14" t="str">
        <x:v>District reference centroid</x:v>
      </x:c>
      <x:c r="J65" s="14" t="str">
        <x:v>Reference only—field verification recommended</x:v>
      </x:c>
      <x:c r="K65" s="14" t="str">
        <x:v>This is a district-level reference point, not a confirmed civic-centre or council-office entrance.</x:v>
      </x:c>
      <x:c r="L65" s="14" t="str">
        <x:v>https://github.com/repoxbeta/repox-countries/tree/main/src/metadata/countries/zm</x:v>
      </x:c>
    </x:row>
    <x:row r="66">
      <x:c r="A66" s="14" t="str">
        <x:v>Northern</x:v>
      </x:c>
      <x:c r="B66" s="14" t="str">
        <x:v>Kasama</x:v>
      </x:c>
      <x:c r="C66" s="14" t="str">
        <x:v>Kasama</x:v>
      </x:c>
      <x:c r="D66" s="16" t="n">
        <x:v>-10.2129</x:v>
      </x:c>
      <x:c r="E66" s="16" t="n">
        <x:v>31.1808</x:v>
      </x:c>
      <x:c r="F66" s="14" t="str">
        <x:f>TEXT(D66,"0.000000")&amp;", "&amp;TEXT(E66,"0.000000")</x:f>
        <x:v>-10.212900, 31.180800</x:v>
      </x:c>
      <x:c r="G66" s="14" t="str">
        <x:f>"https://www.google.com/maps?q="&amp;TEXT(D66,"0.000000")&amp;","&amp;TEXT(E66,"0.000000")</x:f>
        <x:v>https://www.google.com/maps?q=-10.212900,31.180800</x:v>
      </x:c>
      <x:c r="H66" s="14" t="str">
        <x:v>WGS 84 / EPSG:4326</x:v>
      </x:c>
      <x:c r="I66" s="14" t="str">
        <x:v>Town/administrative-centre point</x:v>
      </x:c>
      <x:c r="J66" s="14" t="str">
        <x:v>Gazetteer/reference point; not a building entrance</x:v>
      </x:c>
      <x:c r="K66" s="14" t="str"/>
      <x:c r="L66" s="14" t="str">
        <x:v>https://download.geonames.org/export/dump/</x:v>
      </x:c>
    </x:row>
    <x:row r="67">
      <x:c r="A67" s="14" t="str">
        <x:v>Northern</x:v>
      </x:c>
      <x:c r="B67" s="14" t="str">
        <x:v>Lunte</x:v>
      </x:c>
      <x:c r="C67" s="14" t="str">
        <x:v>Lunte</x:v>
      </x:c>
      <x:c r="D67" s="16" t="n">
        <x:v>-10.21195</x:v>
      </x:c>
      <x:c r="E67" s="16" t="n">
        <x:v>30.23353</x:v>
      </x:c>
      <x:c r="F67" s="14" t="str">
        <x:f>TEXT(D67,"0.000000")&amp;", "&amp;TEXT(E67,"0.000000")</x:f>
        <x:v>-10.211950, 30.233530</x:v>
      </x:c>
      <x:c r="G67" s="14" t="str">
        <x:f>"https://www.google.com/maps?q="&amp;TEXT(D67,"0.000000")&amp;","&amp;TEXT(E67,"0.000000")</x:f>
        <x:v>https://www.google.com/maps?q=-10.211950,30.233530</x:v>
      </x:c>
      <x:c r="H67" s="14" t="str">
        <x:v>WGS 84 / EPSG:4326</x:v>
      </x:c>
      <x:c r="I67" s="14" t="str">
        <x:v>Town/administrative point</x:v>
      </x:c>
      <x:c r="J67" s="14" t="str">
        <x:v>Checked settlement point</x:v>
      </x:c>
      <x:c r="K67" s="14" t="str"/>
      <x:c r="L67" s="14" t="str">
        <x:v>https://www.openstreetmap.org/</x:v>
      </x:c>
    </x:row>
    <x:row r="68">
      <x:c r="A68" s="14" t="str">
        <x:v>Northern</x:v>
      </x:c>
      <x:c r="B68" s="14" t="str">
        <x:v>Lupososhi</x:v>
      </x:c>
      <x:c r="C68" s="14" t="str">
        <x:v>Lupososhi</x:v>
      </x:c>
      <x:c r="D68" s="16" t="n">
        <x:v>-10.527942</x:v>
      </x:c>
      <x:c r="E68" s="16" t="n">
        <x:v>29.700067</x:v>
      </x:c>
      <x:c r="F68" s="14" t="str">
        <x:f>TEXT(D68,"0.000000")&amp;", "&amp;TEXT(E68,"0.000000")</x:f>
        <x:v>-10.527942, 29.700067</x:v>
      </x:c>
      <x:c r="G68" s="14" t="str">
        <x:f>"https://www.google.com/maps?q="&amp;TEXT(D68,"0.000000")&amp;","&amp;TEXT(E68,"0.000000")</x:f>
        <x:v>https://www.google.com/maps?q=-10.527942,29.700067</x:v>
      </x:c>
      <x:c r="H68" s="14" t="str">
        <x:v>WGS 84 / EPSG:4326</x:v>
      </x:c>
      <x:c r="I68" s="14" t="str">
        <x:v>Council/administrative point</x:v>
      </x:c>
      <x:c r="J68" s="14" t="str">
        <x:v>Approximate council administrative-centre point</x:v>
      </x:c>
      <x:c r="K68" s="14" t="str"/>
      <x:c r="L68" s="14" t="str">
        <x:v>https://www.openstreetmap.org/</x:v>
      </x:c>
    </x:row>
    <x:row r="69">
      <x:c r="A69" s="14" t="str">
        <x:v>Northern</x:v>
      </x:c>
      <x:c r="B69" s="14" t="str">
        <x:v>Luwingu</x:v>
      </x:c>
      <x:c r="C69" s="14" t="str">
        <x:v>Luwingu</x:v>
      </x:c>
      <x:c r="D69" s="16" t="n">
        <x:v>-10.2621</x:v>
      </x:c>
      <x:c r="E69" s="16" t="n">
        <x:v>29.9271</x:v>
      </x:c>
      <x:c r="F69" s="14" t="str">
        <x:f>TEXT(D69,"0.000000")&amp;", "&amp;TEXT(E69,"0.000000")</x:f>
        <x:v>-10.262100, 29.927100</x:v>
      </x:c>
      <x:c r="G69" s="14" t="str">
        <x:f>"https://www.google.com/maps?q="&amp;TEXT(D69,"0.000000")&amp;","&amp;TEXT(E69,"0.000000")</x:f>
        <x:v>https://www.google.com/maps?q=-10.262100,29.927100</x:v>
      </x:c>
      <x:c r="H69" s="14" t="str">
        <x:v>WGS 84 / EPSG:4326</x:v>
      </x:c>
      <x:c r="I69" s="14" t="str">
        <x:v>Town/administrative-centre point</x:v>
      </x:c>
      <x:c r="J69" s="14" t="str">
        <x:v>Gazetteer/reference point; not a building entrance</x:v>
      </x:c>
      <x:c r="K69" s="14" t="str"/>
      <x:c r="L69" s="14" t="str">
        <x:v>https://download.geonames.org/export/dump/</x:v>
      </x:c>
    </x:row>
    <x:row r="70">
      <x:c r="A70" s="14" t="str">
        <x:v>Northern</x:v>
      </x:c>
      <x:c r="B70" s="14" t="str">
        <x:v>Mbala</x:v>
      </x:c>
      <x:c r="C70" s="14" t="str">
        <x:v>Mbala</x:v>
      </x:c>
      <x:c r="D70" s="16" t="n">
        <x:v>-8.84024</x:v>
      </x:c>
      <x:c r="E70" s="16" t="n">
        <x:v>31.3659</x:v>
      </x:c>
      <x:c r="F70" s="14" t="str">
        <x:f>TEXT(D70,"0.000000")&amp;", "&amp;TEXT(E70,"0.000000")</x:f>
        <x:v>-8.840240, 31.365900</x:v>
      </x:c>
      <x:c r="G70" s="14" t="str">
        <x:f>"https://www.google.com/maps?q="&amp;TEXT(D70,"0.000000")&amp;","&amp;TEXT(E70,"0.000000")</x:f>
        <x:v>https://www.google.com/maps?q=-8.840240,31.365900</x:v>
      </x:c>
      <x:c r="H70" s="14" t="str">
        <x:v>WGS 84 / EPSG:4326</x:v>
      </x:c>
      <x:c r="I70" s="14" t="str">
        <x:v>Town/administrative-centre point</x:v>
      </x:c>
      <x:c r="J70" s="14" t="str">
        <x:v>Gazetteer/reference point; not a building entrance</x:v>
      </x:c>
      <x:c r="K70" s="14" t="str"/>
      <x:c r="L70" s="14" t="str">
        <x:v>https://download.geonames.org/export/dump/</x:v>
      </x:c>
    </x:row>
    <x:row r="71">
      <x:c r="A71" s="14" t="str">
        <x:v>Northern</x:v>
      </x:c>
      <x:c r="B71" s="14" t="str">
        <x:v>Mporokoso</x:v>
      </x:c>
      <x:c r="C71" s="14" t="str">
        <x:v>Mporokoso</x:v>
      </x:c>
      <x:c r="D71" s="16" t="n">
        <x:v>-9.6869</x:v>
      </x:c>
      <x:c r="E71" s="16" t="n">
        <x:v>30.19776</x:v>
      </x:c>
      <x:c r="F71" s="14" t="str">
        <x:f>TEXT(D71,"0.000000")&amp;", "&amp;TEXT(E71,"0.000000")</x:f>
        <x:v>-9.686900, 30.197760</x:v>
      </x:c>
      <x:c r="G71" s="14" t="str">
        <x:f>"https://www.google.com/maps?q="&amp;TEXT(D71,"0.000000")&amp;","&amp;TEXT(E71,"0.000000")</x:f>
        <x:v>https://www.google.com/maps?q=-9.686900,30.197760</x:v>
      </x:c>
      <x:c r="H71" s="14" t="str">
        <x:v>WGS 84 / EPSG:4326</x:v>
      </x:c>
      <x:c r="I71" s="14" t="str">
        <x:v>District reference centroid</x:v>
      </x:c>
      <x:c r="J71" s="14" t="str">
        <x:v>Reference only—field verification recommended</x:v>
      </x:c>
      <x:c r="K71" s="14" t="str">
        <x:v>This is a district-level reference point, not a confirmed civic-centre or council-office entrance.</x:v>
      </x:c>
      <x:c r="L71" s="14" t="str">
        <x:v>https://github.com/repoxbeta/repox-countries/tree/main/src/metadata/countries/zm</x:v>
      </x:c>
    </x:row>
    <x:row r="72">
      <x:c r="A72" s="14" t="str">
        <x:v>Northern</x:v>
      </x:c>
      <x:c r="B72" s="14" t="str">
        <x:v>Mpulungu</x:v>
      </x:c>
      <x:c r="C72" s="14" t="str">
        <x:v>Mpulungu</x:v>
      </x:c>
      <x:c r="D72" s="16" t="n">
        <x:v>-8.76234</x:v>
      </x:c>
      <x:c r="E72" s="16" t="n">
        <x:v>31.114</x:v>
      </x:c>
      <x:c r="F72" s="14" t="str">
        <x:f>TEXT(D72,"0.000000")&amp;", "&amp;TEXT(E72,"0.000000")</x:f>
        <x:v>-8.762340, 31.114000</x:v>
      </x:c>
      <x:c r="G72" s="14" t="str">
        <x:f>"https://www.google.com/maps?q="&amp;TEXT(D72,"0.000000")&amp;","&amp;TEXT(E72,"0.000000")</x:f>
        <x:v>https://www.google.com/maps?q=-8.762340,31.114000</x:v>
      </x:c>
      <x:c r="H72" s="14" t="str">
        <x:v>WGS 84 / EPSG:4326</x:v>
      </x:c>
      <x:c r="I72" s="14" t="str">
        <x:v>Town/administrative-centre point</x:v>
      </x:c>
      <x:c r="J72" s="14" t="str">
        <x:v>Gazetteer/reference point; not a building entrance</x:v>
      </x:c>
      <x:c r="K72" s="14" t="str"/>
      <x:c r="L72" s="14" t="str">
        <x:v>https://download.geonames.org/export/dump/</x:v>
      </x:c>
    </x:row>
    <x:row r="73">
      <x:c r="A73" s="14" t="str">
        <x:v>Northern</x:v>
      </x:c>
      <x:c r="B73" s="14" t="str">
        <x:v>Mungwi</x:v>
      </x:c>
      <x:c r="C73" s="14" t="str">
        <x:v>Mungwi</x:v>
      </x:c>
      <x:c r="D73" s="16" t="n">
        <x:v>-10.1732</x:v>
      </x:c>
      <x:c r="E73" s="16" t="n">
        <x:v>31.3694</x:v>
      </x:c>
      <x:c r="F73" s="14" t="str">
        <x:f>TEXT(D73,"0.000000")&amp;", "&amp;TEXT(E73,"0.000000")</x:f>
        <x:v>-10.173200, 31.369400</x:v>
      </x:c>
      <x:c r="G73" s="14" t="str">
        <x:f>"https://www.google.com/maps?q="&amp;TEXT(D73,"0.000000")&amp;","&amp;TEXT(E73,"0.000000")</x:f>
        <x:v>https://www.google.com/maps?q=-10.173200,31.369400</x:v>
      </x:c>
      <x:c r="H73" s="14" t="str">
        <x:v>WGS 84 / EPSG:4326</x:v>
      </x:c>
      <x:c r="I73" s="14" t="str">
        <x:v>Town/administrative-centre point</x:v>
      </x:c>
      <x:c r="J73" s="14" t="str">
        <x:v>Gazetteer/reference point; not a building entrance</x:v>
      </x:c>
      <x:c r="K73" s="14" t="str"/>
      <x:c r="L73" s="14" t="str">
        <x:v>https://download.geonames.org/export/dump/</x:v>
      </x:c>
    </x:row>
    <x:row r="74">
      <x:c r="A74" s="14" t="str">
        <x:v>Northern</x:v>
      </x:c>
      <x:c r="B74" s="14" t="str">
        <x:v>Nsama</x:v>
      </x:c>
      <x:c r="C74" s="14" t="str">
        <x:v>Nsama</x:v>
      </x:c>
      <x:c r="D74" s="16" t="n">
        <x:v>-8.75612</x:v>
      </x:c>
      <x:c r="E74" s="16" t="n">
        <x:v>29.97167</x:v>
      </x:c>
      <x:c r="F74" s="14" t="str">
        <x:f>TEXT(D74,"0.000000")&amp;", "&amp;TEXT(E74,"0.000000")</x:f>
        <x:v>-8.756120, 29.971670</x:v>
      </x:c>
      <x:c r="G74" s="14" t="str">
        <x:f>"https://www.google.com/maps?q="&amp;TEXT(D74,"0.000000")&amp;","&amp;TEXT(E74,"0.000000")</x:f>
        <x:v>https://www.google.com/maps?q=-8.756120,29.971670</x:v>
      </x:c>
      <x:c r="H74" s="14" t="str">
        <x:v>WGS 84 / EPSG:4326</x:v>
      </x:c>
      <x:c r="I74" s="14" t="str">
        <x:v>District reference centroid</x:v>
      </x:c>
      <x:c r="J74" s="14" t="str">
        <x:v>Reference only—field verification recommended</x:v>
      </x:c>
      <x:c r="K74" s="14" t="str">
        <x:v>This is a district-level reference point, not a confirmed civic-centre or council-office entrance.</x:v>
      </x:c>
      <x:c r="L74" s="14" t="str">
        <x:v>https://github.com/repoxbeta/repox-countries/tree/main/src/metadata/countries/zm</x:v>
      </x:c>
    </x:row>
    <x:row r="75">
      <x:c r="A75" s="14" t="str">
        <x:v>Northern</x:v>
      </x:c>
      <x:c r="B75" s="14" t="str">
        <x:v>Senga</x:v>
      </x:c>
      <x:c r="C75" s="14" t="str">
        <x:v>Mambwe Mission (Senga Hill)</x:v>
      </x:c>
      <x:c r="D75" s="16" t="n">
        <x:v>-9.36096</x:v>
      </x:c>
      <x:c r="E75" s="16" t="n">
        <x:v>31.22386</x:v>
      </x:c>
      <x:c r="F75" s="14" t="str">
        <x:f>TEXT(D75,"0.000000")&amp;", "&amp;TEXT(E75,"0.000000")</x:f>
        <x:v>-9.360960, 31.223860</x:v>
      </x:c>
      <x:c r="G75" s="14" t="str">
        <x:f>"https://www.google.com/maps?q="&amp;TEXT(D75,"0.000000")&amp;","&amp;TEXT(E75,"0.000000")</x:f>
        <x:v>https://www.google.com/maps?q=-9.360960,31.223860</x:v>
      </x:c>
      <x:c r="H75" s="14" t="str">
        <x:v>WGS 84 / EPSG:4326</x:v>
      </x:c>
      <x:c r="I75" s="14" t="str">
        <x:v>Council/administrative point</x:v>
      </x:c>
      <x:c r="J75" s="14" t="str">
        <x:v>Official administrative centre is at Mambwe Mission</x:v>
      </x:c>
      <x:c r="K75" s="14" t="str">
        <x:v>Official council information locates the administrative centre at Mambwe Mission.</x:v>
      </x:c>
      <x:c r="L75" s="14" t="str">
        <x:v>https://www.sengahillcouncil.gov.zm/?page_id=4078</x:v>
      </x:c>
    </x:row>
    <x:row r="76">
      <x:c r="A76" s="14" t="str">
        <x:v>North-Western</x:v>
      </x:c>
      <x:c r="B76" s="14" t="str">
        <x:v>Chavuma</x:v>
      </x:c>
      <x:c r="C76" s="14" t="str">
        <x:v>Chavuma</x:v>
      </x:c>
      <x:c r="D76" s="16" t="n">
        <x:v>-13.19765</x:v>
      </x:c>
      <x:c r="E76" s="16" t="n">
        <x:v>22.38958</x:v>
      </x:c>
      <x:c r="F76" s="14" t="str">
        <x:f>TEXT(D76,"0.000000")&amp;", "&amp;TEXT(E76,"0.000000")</x:f>
        <x:v>-13.197650, 22.389580</x:v>
      </x:c>
      <x:c r="G76" s="14" t="str">
        <x:f>"https://www.google.com/maps?q="&amp;TEXT(D76,"0.000000")&amp;","&amp;TEXT(E76,"0.000000")</x:f>
        <x:v>https://www.google.com/maps?q=-13.197650,22.389580</x:v>
      </x:c>
      <x:c r="H76" s="14" t="str">
        <x:v>WGS 84 / EPSG:4326</x:v>
      </x:c>
      <x:c r="I76" s="14" t="str">
        <x:v>District reference centroid</x:v>
      </x:c>
      <x:c r="J76" s="14" t="str">
        <x:v>Reference only—field verification recommended</x:v>
      </x:c>
      <x:c r="K76" s="14" t="str">
        <x:v>This is a district-level reference point, not a confirmed civic-centre or council-office entrance.</x:v>
      </x:c>
      <x:c r="L76" s="14" t="str">
        <x:v>https://github.com/repoxbeta/repox-countries/tree/main/src/metadata/countries/zm</x:v>
      </x:c>
    </x:row>
    <x:row r="77">
      <x:c r="A77" s="14" t="str">
        <x:v>North-Western</x:v>
      </x:c>
      <x:c r="B77" s="14" t="str">
        <x:v>Ikelenge</x:v>
      </x:c>
      <x:c r="C77" s="14" t="str">
        <x:v>Ikelenge</x:v>
      </x:c>
      <x:c r="D77" s="16" t="n">
        <x:v>-11.23772</x:v>
      </x:c>
      <x:c r="E77" s="16" t="n">
        <x:v>24.20839</x:v>
      </x:c>
      <x:c r="F77" s="14" t="str">
        <x:f>TEXT(D77,"0.000000")&amp;", "&amp;TEXT(E77,"0.000000")</x:f>
        <x:v>-11.237720, 24.208390</x:v>
      </x:c>
      <x:c r="G77" s="14" t="str">
        <x:f>"https://www.google.com/maps?q="&amp;TEXT(D77,"0.000000")&amp;","&amp;TEXT(E77,"0.000000")</x:f>
        <x:v>https://www.google.com/maps?q=-11.237720,24.208390</x:v>
      </x:c>
      <x:c r="H77" s="14" t="str">
        <x:v>WGS 84 / EPSG:4326</x:v>
      </x:c>
      <x:c r="I77" s="14" t="str">
        <x:v>District reference centroid</x:v>
      </x:c>
      <x:c r="J77" s="14" t="str">
        <x:v>Reference only—field verification recommended</x:v>
      </x:c>
      <x:c r="K77" s="14" t="str">
        <x:v>This is a district-level reference point, not a confirmed civic-centre or council-office entrance.</x:v>
      </x:c>
      <x:c r="L77" s="14" t="str">
        <x:v>https://github.com/repoxbeta/repox-countries/tree/main/src/metadata/countries/zm</x:v>
      </x:c>
    </x:row>
    <x:row r="78">
      <x:c r="A78" s="14" t="str">
        <x:v>North-Western</x:v>
      </x:c>
      <x:c r="B78" s="14" t="str">
        <x:v>Kabompo</x:v>
      </x:c>
      <x:c r="C78" s="14" t="str">
        <x:v>Kabompo</x:v>
      </x:c>
      <x:c r="D78" s="16" t="n">
        <x:v>-13.5927</x:v>
      </x:c>
      <x:c r="E78" s="16" t="n">
        <x:v>24.2008</x:v>
      </x:c>
      <x:c r="F78" s="14" t="str">
        <x:f>TEXT(D78,"0.000000")&amp;", "&amp;TEXT(E78,"0.000000")</x:f>
        <x:v>-13.592700, 24.200800</x:v>
      </x:c>
      <x:c r="G78" s="14" t="str">
        <x:f>"https://www.google.com/maps?q="&amp;TEXT(D78,"0.000000")&amp;","&amp;TEXT(E78,"0.000000")</x:f>
        <x:v>https://www.google.com/maps?q=-13.592700,24.200800</x:v>
      </x:c>
      <x:c r="H78" s="14" t="str">
        <x:v>WGS 84 / EPSG:4326</x:v>
      </x:c>
      <x:c r="I78" s="14" t="str">
        <x:v>Town/administrative-centre point</x:v>
      </x:c>
      <x:c r="J78" s="14" t="str">
        <x:v>Gazetteer/reference point; not a building entrance</x:v>
      </x:c>
      <x:c r="K78" s="14" t="str"/>
      <x:c r="L78" s="14" t="str">
        <x:v>https://download.geonames.org/export/dump/</x:v>
      </x:c>
    </x:row>
    <x:row r="79">
      <x:c r="A79" s="14" t="str">
        <x:v>North-Western</x:v>
      </x:c>
      <x:c r="B79" s="14" t="str">
        <x:v>Kalumbila</x:v>
      </x:c>
      <x:c r="C79" s="14" t="str">
        <x:v>Kalumbila</x:v>
      </x:c>
      <x:c r="D79" s="16" t="n">
        <x:v>-12.22194</x:v>
      </x:c>
      <x:c r="E79" s="16" t="n">
        <x:v>25.41144</x:v>
      </x:c>
      <x:c r="F79" s="14" t="str">
        <x:f>TEXT(D79,"0.000000")&amp;", "&amp;TEXT(E79,"0.000000")</x:f>
        <x:v>-12.221940, 25.411440</x:v>
      </x:c>
      <x:c r="G79" s="14" t="str">
        <x:f>"https://www.google.com/maps?q="&amp;TEXT(D79,"0.000000")&amp;","&amp;TEXT(E79,"0.000000")</x:f>
        <x:v>https://www.google.com/maps?q=-12.221940,25.411440</x:v>
      </x:c>
      <x:c r="H79" s="14" t="str">
        <x:v>WGS 84 / EPSG:4326</x:v>
      </x:c>
      <x:c r="I79" s="14" t="str">
        <x:v>Town/administrative point</x:v>
      </x:c>
      <x:c r="J79" s="14" t="str">
        <x:v>Checked settlement point</x:v>
      </x:c>
      <x:c r="K79" s="14" t="str"/>
      <x:c r="L79" s="14" t="str">
        <x:v>https://www.openstreetmap.org/</x:v>
      </x:c>
    </x:row>
    <x:row r="80">
      <x:c r="A80" s="14" t="str">
        <x:v>North-Western</x:v>
      </x:c>
      <x:c r="B80" s="14" t="str">
        <x:v>Kasempa</x:v>
      </x:c>
      <x:c r="C80" s="14" t="str">
        <x:v>Kasempa</x:v>
      </x:c>
      <x:c r="D80" s="16" t="n">
        <x:v>-13.4584</x:v>
      </x:c>
      <x:c r="E80" s="16" t="n">
        <x:v>25.8338</x:v>
      </x:c>
      <x:c r="F80" s="14" t="str">
        <x:f>TEXT(D80,"0.000000")&amp;", "&amp;TEXT(E80,"0.000000")</x:f>
        <x:v>-13.458400, 25.833800</x:v>
      </x:c>
      <x:c r="G80" s="14" t="str">
        <x:f>"https://www.google.com/maps?q="&amp;TEXT(D80,"0.000000")&amp;","&amp;TEXT(E80,"0.000000")</x:f>
        <x:v>https://www.google.com/maps?q=-13.458400,25.833800</x:v>
      </x:c>
      <x:c r="H80" s="14" t="str">
        <x:v>WGS 84 / EPSG:4326</x:v>
      </x:c>
      <x:c r="I80" s="14" t="str">
        <x:v>Town/administrative-centre point</x:v>
      </x:c>
      <x:c r="J80" s="14" t="str">
        <x:v>Gazetteer/reference point; not a building entrance</x:v>
      </x:c>
      <x:c r="K80" s="14" t="str"/>
      <x:c r="L80" s="14" t="str">
        <x:v>https://download.geonames.org/export/dump/</x:v>
      </x:c>
    </x:row>
    <x:row r="81">
      <x:c r="A81" s="14" t="str">
        <x:v>North-Western</x:v>
      </x:c>
      <x:c r="B81" s="14" t="str">
        <x:v>Manyinga</x:v>
      </x:c>
      <x:c r="C81" s="14" t="str">
        <x:v>Manyinga</x:v>
      </x:c>
      <x:c r="D81" s="16" t="n">
        <x:v>-12.9722</x:v>
      </x:c>
      <x:c r="E81" s="16" t="n">
        <x:v>24.32063</x:v>
      </x:c>
      <x:c r="F81" s="14" t="str">
        <x:f>TEXT(D81,"0.000000")&amp;", "&amp;TEXT(E81,"0.000000")</x:f>
        <x:v>-12.972200, 24.320630</x:v>
      </x:c>
      <x:c r="G81" s="14" t="str">
        <x:f>"https://www.google.com/maps?q="&amp;TEXT(D81,"0.000000")&amp;","&amp;TEXT(E81,"0.000000")</x:f>
        <x:v>https://www.google.com/maps?q=-12.972200,24.320630</x:v>
      </x:c>
      <x:c r="H81" s="14" t="str">
        <x:v>WGS 84 / EPSG:4326</x:v>
      </x:c>
      <x:c r="I81" s="14" t="str">
        <x:v>District reference centroid</x:v>
      </x:c>
      <x:c r="J81" s="14" t="str">
        <x:v>Reference only—field verification recommended</x:v>
      </x:c>
      <x:c r="K81" s="14" t="str">
        <x:v>This is a district-level reference point, not a confirmed civic-centre or council-office entrance.</x:v>
      </x:c>
      <x:c r="L81" s="14" t="str">
        <x:v>https://github.com/repoxbeta/repox-countries/tree/main/src/metadata/countries/zm</x:v>
      </x:c>
    </x:row>
    <x:row r="82">
      <x:c r="A82" s="14" t="str">
        <x:v>North-Western</x:v>
      </x:c>
      <x:c r="B82" s="14" t="str">
        <x:v>Mufumbwe</x:v>
      </x:c>
      <x:c r="C82" s="14" t="str">
        <x:v>Mufumbwe</x:v>
      </x:c>
      <x:c r="D82" s="16" t="n">
        <x:v>-13.6833</x:v>
      </x:c>
      <x:c r="E82" s="16" t="n">
        <x:v>24.8</x:v>
      </x:c>
      <x:c r="F82" s="14" t="str">
        <x:f>TEXT(D82,"0.000000")&amp;", "&amp;TEXT(E82,"0.000000")</x:f>
        <x:v>-13.683300, 24.800000</x:v>
      </x:c>
      <x:c r="G82" s="14" t="str">
        <x:f>"https://www.google.com/maps?q="&amp;TEXT(D82,"0.000000")&amp;","&amp;TEXT(E82,"0.000000")</x:f>
        <x:v>https://www.google.com/maps?q=-13.683300,24.800000</x:v>
      </x:c>
      <x:c r="H82" s="14" t="str">
        <x:v>WGS 84 / EPSG:4326</x:v>
      </x:c>
      <x:c r="I82" s="14" t="str">
        <x:v>Town/administrative-centre point</x:v>
      </x:c>
      <x:c r="J82" s="14" t="str">
        <x:v>Gazetteer/reference point; not a building entrance</x:v>
      </x:c>
      <x:c r="K82" s="14" t="str"/>
      <x:c r="L82" s="14" t="str">
        <x:v>https://download.geonames.org/export/dump/</x:v>
      </x:c>
    </x:row>
    <x:row r="83">
      <x:c r="A83" s="14" t="str">
        <x:v>North-Western</x:v>
      </x:c>
      <x:c r="B83" s="14" t="str">
        <x:v>Mushindamo</x:v>
      </x:c>
      <x:c r="C83" s="14" t="str">
        <x:v>Mushindamo</x:v>
      </x:c>
      <x:c r="D83" s="16" t="n">
        <x:v>-12.5</x:v>
      </x:c>
      <x:c r="E83" s="16" t="n">
        <x:v>26.833333</x:v>
      </x:c>
      <x:c r="F83" s="14" t="str">
        <x:f>TEXT(D83,"0.000000")&amp;", "&amp;TEXT(E83,"0.000000")</x:f>
        <x:v>-12.500000, 26.833333</x:v>
      </x:c>
      <x:c r="G83" s="14" t="str">
        <x:f>"https://www.google.com/maps?q="&amp;TEXT(D83,"0.000000")&amp;","&amp;TEXT(E83,"0.000000")</x:f>
        <x:v>https://www.google.com/maps?q=-12.500000,26.833333</x:v>
      </x:c>
      <x:c r="H83" s="14" t="str">
        <x:v>WGS 84 / EPSG:4326</x:v>
      </x:c>
      <x:c r="I83" s="14" t="str">
        <x:v>District reference point</x:v>
      </x:c>
      <x:c r="J83" s="14" t="str">
        <x:v>District-level reference; field verification required</x:v>
      </x:c>
      <x:c r="K83" s="14" t="str"/>
      <x:c r="L83" s="14" t="str">
        <x:v>https://github.com/repoxbeta/repox-countries/tree/main/src/metadata/countries/zm</x:v>
      </x:c>
    </x:row>
    <x:row r="84">
      <x:c r="A84" s="14" t="str">
        <x:v>North-Western</x:v>
      </x:c>
      <x:c r="B84" s="14" t="str">
        <x:v>Mwinilunga</x:v>
      </x:c>
      <x:c r="C84" s="14" t="str">
        <x:v>Mwinilunga</x:v>
      </x:c>
      <x:c r="D84" s="16" t="n">
        <x:v>-11.7358</x:v>
      </x:c>
      <x:c r="E84" s="16" t="n">
        <x:v>24.4293</x:v>
      </x:c>
      <x:c r="F84" s="14" t="str">
        <x:f>TEXT(D84,"0.000000")&amp;", "&amp;TEXT(E84,"0.000000")</x:f>
        <x:v>-11.735800, 24.429300</x:v>
      </x:c>
      <x:c r="G84" s="14" t="str">
        <x:f>"https://www.google.com/maps?q="&amp;TEXT(D84,"0.000000")&amp;","&amp;TEXT(E84,"0.000000")</x:f>
        <x:v>https://www.google.com/maps?q=-11.735800,24.429300</x:v>
      </x:c>
      <x:c r="H84" s="14" t="str">
        <x:v>WGS 84 / EPSG:4326</x:v>
      </x:c>
      <x:c r="I84" s="14" t="str">
        <x:v>Town/administrative-centre point</x:v>
      </x:c>
      <x:c r="J84" s="14" t="str">
        <x:v>Gazetteer/reference point; not a building entrance</x:v>
      </x:c>
      <x:c r="K84" s="14" t="str"/>
      <x:c r="L84" s="14" t="str">
        <x:v>https://download.geonames.org/export/dump/</x:v>
      </x:c>
    </x:row>
    <x:row r="85">
      <x:c r="A85" s="14" t="str">
        <x:v>North-Western</x:v>
      </x:c>
      <x:c r="B85" s="14" t="str">
        <x:v>Solwezi</x:v>
      </x:c>
      <x:c r="C85" s="14" t="str">
        <x:v>Solwezi</x:v>
      </x:c>
      <x:c r="D85" s="16" t="n">
        <x:v>-12.1688</x:v>
      </x:c>
      <x:c r="E85" s="16" t="n">
        <x:v>26.3894</x:v>
      </x:c>
      <x:c r="F85" s="14" t="str">
        <x:f>TEXT(D85,"0.000000")&amp;", "&amp;TEXT(E85,"0.000000")</x:f>
        <x:v>-12.168800, 26.389400</x:v>
      </x:c>
      <x:c r="G85" s="14" t="str">
        <x:f>"https://www.google.com/maps?q="&amp;TEXT(D85,"0.000000")&amp;","&amp;TEXT(E85,"0.000000")</x:f>
        <x:v>https://www.google.com/maps?q=-12.168800,26.389400</x:v>
      </x:c>
      <x:c r="H85" s="14" t="str">
        <x:v>WGS 84 / EPSG:4326</x:v>
      </x:c>
      <x:c r="I85" s="14" t="str">
        <x:v>Town/administrative-centre point</x:v>
      </x:c>
      <x:c r="J85" s="14" t="str">
        <x:v>Gazetteer/reference point; not a building entrance</x:v>
      </x:c>
      <x:c r="K85" s="14" t="str"/>
      <x:c r="L85" s="14" t="str">
        <x:v>https://download.geonames.org/export/dump/</x:v>
      </x:c>
    </x:row>
    <x:row r="86">
      <x:c r="A86" s="14" t="str">
        <x:v>North-Western</x:v>
      </x:c>
      <x:c r="B86" s="14" t="str">
        <x:v>Zambezi</x:v>
      </x:c>
      <x:c r="C86" s="14" t="str">
        <x:v>Zambezi</x:v>
      </x:c>
      <x:c r="D86" s="16" t="n">
        <x:v>-13.5432</x:v>
      </x:c>
      <x:c r="E86" s="16" t="n">
        <x:v>23.1047</x:v>
      </x:c>
      <x:c r="F86" s="14" t="str">
        <x:f>TEXT(D86,"0.000000")&amp;", "&amp;TEXT(E86,"0.000000")</x:f>
        <x:v>-13.543200, 23.104700</x:v>
      </x:c>
      <x:c r="G86" s="14" t="str">
        <x:f>"https://www.google.com/maps?q="&amp;TEXT(D86,"0.000000")&amp;","&amp;TEXT(E86,"0.000000")</x:f>
        <x:v>https://www.google.com/maps?q=-13.543200,23.104700</x:v>
      </x:c>
      <x:c r="H86" s="14" t="str">
        <x:v>WGS 84 / EPSG:4326</x:v>
      </x:c>
      <x:c r="I86" s="14" t="str">
        <x:v>Town/administrative-centre point</x:v>
      </x:c>
      <x:c r="J86" s="14" t="str">
        <x:v>Gazetteer/reference point; not a building entrance</x:v>
      </x:c>
      <x:c r="K86" s="14" t="str"/>
      <x:c r="L86" s="14" t="str">
        <x:v>https://download.geonames.org/export/dump/</x:v>
      </x:c>
    </x:row>
    <x:row r="87">
      <x:c r="A87" s="14" t="str">
        <x:v>Southern</x:v>
      </x:c>
      <x:c r="B87" s="14" t="str">
        <x:v>Chikankata</x:v>
      </x:c>
      <x:c r="C87" s="14" t="str">
        <x:v>Chikankata</x:v>
      </x:c>
      <x:c r="D87" s="16" t="n">
        <x:v>-16.03566</x:v>
      </x:c>
      <x:c r="E87" s="16" t="n">
        <x:v>28.23971</x:v>
      </x:c>
      <x:c r="F87" s="14" t="str">
        <x:f>TEXT(D87,"0.000000")&amp;", "&amp;TEXT(E87,"0.000000")</x:f>
        <x:v>-16.035660, 28.239710</x:v>
      </x:c>
      <x:c r="G87" s="14" t="str">
        <x:f>"https://www.google.com/maps?q="&amp;TEXT(D87,"0.000000")&amp;","&amp;TEXT(E87,"0.000000")</x:f>
        <x:v>https://www.google.com/maps?q=-16.035660,28.239710</x:v>
      </x:c>
      <x:c r="H87" s="14" t="str">
        <x:v>WGS 84 / EPSG:4326</x:v>
      </x:c>
      <x:c r="I87" s="14" t="str">
        <x:v>District reference centroid</x:v>
      </x:c>
      <x:c r="J87" s="14" t="str">
        <x:v>Reference only—field verification recommended</x:v>
      </x:c>
      <x:c r="K87" s="14" t="str">
        <x:v>This is a district-level reference point, not a confirmed civic-centre or council-office entrance.</x:v>
      </x:c>
      <x:c r="L87" s="14" t="str">
        <x:v>https://github.com/repoxbeta/repox-countries/tree/main/src/metadata/countries/zm</x:v>
      </x:c>
    </x:row>
    <x:row r="88">
      <x:c r="A88" s="14" t="str">
        <x:v>Southern</x:v>
      </x:c>
      <x:c r="B88" s="14" t="str">
        <x:v>Chirundu</x:v>
      </x:c>
      <x:c r="C88" s="14" t="str">
        <x:v>Chirundu</x:v>
      </x:c>
      <x:c r="D88" s="16" t="n">
        <x:v>-16.13283</x:v>
      </x:c>
      <x:c r="E88" s="16" t="n">
        <x:v>28.68775</x:v>
      </x:c>
      <x:c r="F88" s="14" t="str">
        <x:f>TEXT(D88,"0.000000")&amp;", "&amp;TEXT(E88,"0.000000")</x:f>
        <x:v>-16.132830, 28.687750</x:v>
      </x:c>
      <x:c r="G88" s="14" t="str">
        <x:f>"https://www.google.com/maps?q="&amp;TEXT(D88,"0.000000")&amp;","&amp;TEXT(E88,"0.000000")</x:f>
        <x:v>https://www.google.com/maps?q=-16.132830,28.687750</x:v>
      </x:c>
      <x:c r="H88" s="14" t="str">
        <x:v>WGS 84 / EPSG:4326</x:v>
      </x:c>
      <x:c r="I88" s="14" t="str">
        <x:v>District reference centroid</x:v>
      </x:c>
      <x:c r="J88" s="14" t="str">
        <x:v>Reference only—field verification recommended</x:v>
      </x:c>
      <x:c r="K88" s="14" t="str">
        <x:v>This is a district-level reference point, not a confirmed civic-centre or council-office entrance.</x:v>
      </x:c>
      <x:c r="L88" s="14" t="str">
        <x:v>https://github.com/repoxbeta/repox-countries/tree/main/src/metadata/countries/zm</x:v>
      </x:c>
    </x:row>
    <x:row r="89">
      <x:c r="A89" s="14" t="str">
        <x:v>Southern</x:v>
      </x:c>
      <x:c r="B89" s="14" t="str">
        <x:v>Choma</x:v>
      </x:c>
      <x:c r="C89" s="14" t="str">
        <x:v>Choma</x:v>
      </x:c>
      <x:c r="D89" s="16" t="n">
        <x:v>-16.8089</x:v>
      </x:c>
      <x:c r="E89" s="16" t="n">
        <x:v>26.9875</x:v>
      </x:c>
      <x:c r="F89" s="14" t="str">
        <x:f>TEXT(D89,"0.000000")&amp;", "&amp;TEXT(E89,"0.000000")</x:f>
        <x:v>-16.808900, 26.987500</x:v>
      </x:c>
      <x:c r="G89" s="14" t="str">
        <x:f>"https://www.google.com/maps?q="&amp;TEXT(D89,"0.000000")&amp;","&amp;TEXT(E89,"0.000000")</x:f>
        <x:v>https://www.google.com/maps?q=-16.808900,26.987500</x:v>
      </x:c>
      <x:c r="H89" s="14" t="str">
        <x:v>WGS 84 / EPSG:4326</x:v>
      </x:c>
      <x:c r="I89" s="14" t="str">
        <x:v>Town/administrative-centre point</x:v>
      </x:c>
      <x:c r="J89" s="14" t="str">
        <x:v>Gazetteer/reference point; not a building entrance</x:v>
      </x:c>
      <x:c r="K89" s="14" t="str"/>
      <x:c r="L89" s="14" t="str">
        <x:v>https://download.geonames.org/export/dump/</x:v>
      </x:c>
    </x:row>
    <x:row r="90">
      <x:c r="A90" s="14" t="str">
        <x:v>Southern</x:v>
      </x:c>
      <x:c r="B90" s="14" t="str">
        <x:v>Gwembe</x:v>
      </x:c>
      <x:c r="C90" s="14" t="str">
        <x:v>Gwembe</x:v>
      </x:c>
      <x:c r="D90" s="16" t="n">
        <x:v>-16.64077</x:v>
      </x:c>
      <x:c r="E90" s="16" t="n">
        <x:v>27.88502</x:v>
      </x:c>
      <x:c r="F90" s="14" t="str">
        <x:f>TEXT(D90,"0.000000")&amp;", "&amp;TEXT(E90,"0.000000")</x:f>
        <x:v>-16.640770, 27.885020</x:v>
      </x:c>
      <x:c r="G90" s="14" t="str">
        <x:f>"https://www.google.com/maps?q="&amp;TEXT(D90,"0.000000")&amp;","&amp;TEXT(E90,"0.000000")</x:f>
        <x:v>https://www.google.com/maps?q=-16.640770,27.885020</x:v>
      </x:c>
      <x:c r="H90" s="14" t="str">
        <x:v>WGS 84 / EPSG:4326</x:v>
      </x:c>
      <x:c r="I90" s="14" t="str">
        <x:v>District reference centroid</x:v>
      </x:c>
      <x:c r="J90" s="14" t="str">
        <x:v>Reference only—field verification recommended</x:v>
      </x:c>
      <x:c r="K90" s="14" t="str">
        <x:v>This is a district-level reference point, not a confirmed civic-centre or council-office entrance.</x:v>
      </x:c>
      <x:c r="L90" s="14" t="str">
        <x:v>https://github.com/repoxbeta/repox-countries/tree/main/src/metadata/countries/zm</x:v>
      </x:c>
    </x:row>
    <x:row r="91">
      <x:c r="A91" s="14" t="str">
        <x:v>Southern</x:v>
      </x:c>
      <x:c r="B91" s="14" t="str">
        <x:v>Itezhi-Tezhi</x:v>
      </x:c>
      <x:c r="C91" s="14" t="str">
        <x:v>Itezhi-Tezhi</x:v>
      </x:c>
      <x:c r="D91" s="16" t="n">
        <x:v>-15.74092</x:v>
      </x:c>
      <x:c r="E91" s="16" t="n">
        <x:v>26.04146</x:v>
      </x:c>
      <x:c r="F91" s="14" t="str">
        <x:f>TEXT(D91,"0.000000")&amp;", "&amp;TEXT(E91,"0.000000")</x:f>
        <x:v>-15.740920, 26.041460</x:v>
      </x:c>
      <x:c r="G91" s="14" t="str">
        <x:f>"https://www.google.com/maps?q="&amp;TEXT(D91,"0.000000")&amp;","&amp;TEXT(E91,"0.000000")</x:f>
        <x:v>https://www.google.com/maps?q=-15.740920,26.041460</x:v>
      </x:c>
      <x:c r="H91" s="14" t="str">
        <x:v>WGS 84 / EPSG:4326</x:v>
      </x:c>
      <x:c r="I91" s="14" t="str">
        <x:v>District reference centroid</x:v>
      </x:c>
      <x:c r="J91" s="14" t="str">
        <x:v>Reference only—field verification recommended</x:v>
      </x:c>
      <x:c r="K91" s="14" t="str">
        <x:v>This is a district-level reference point, not a confirmed civic-centre or council-office entrance.</x:v>
      </x:c>
      <x:c r="L91" s="14" t="str">
        <x:v>https://github.com/repoxbeta/repox-countries/tree/main/src/metadata/countries/zm</x:v>
      </x:c>
    </x:row>
    <x:row r="92">
      <x:c r="A92" s="14" t="str">
        <x:v>Southern</x:v>
      </x:c>
      <x:c r="B92" s="14" t="str">
        <x:v>Kalomo</x:v>
      </x:c>
      <x:c r="C92" s="14" t="str">
        <x:v>Kalomo</x:v>
      </x:c>
      <x:c r="D92" s="16" t="n">
        <x:v>-17.147</x:v>
      </x:c>
      <x:c r="E92" s="16" t="n">
        <x:v>26.679</x:v>
      </x:c>
      <x:c r="F92" s="14" t="str">
        <x:f>TEXT(D92,"0.000000")&amp;", "&amp;TEXT(E92,"0.000000")</x:f>
        <x:v>-17.147000, 26.679000</x:v>
      </x:c>
      <x:c r="G92" s="14" t="str">
        <x:f>"https://www.google.com/maps?q="&amp;TEXT(D92,"0.000000")&amp;","&amp;TEXT(E92,"0.000000")</x:f>
        <x:v>https://www.google.com/maps?q=-17.147000,26.679000</x:v>
      </x:c>
      <x:c r="H92" s="14" t="str">
        <x:v>WGS 84 / EPSG:4326</x:v>
      </x:c>
      <x:c r="I92" s="14" t="str">
        <x:v>District reference centroid</x:v>
      </x:c>
      <x:c r="J92" s="14" t="str">
        <x:v>Reference only—field verification recommended</x:v>
      </x:c>
      <x:c r="K92" s="14" t="str">
        <x:v>This is a district-level reference point, not a confirmed civic-centre or council-office entrance.</x:v>
      </x:c>
      <x:c r="L92" s="14" t="str">
        <x:v>https://github.com/repoxbeta/repox-countries/tree/main/src/metadata/countries/zm</x:v>
      </x:c>
    </x:row>
    <x:row r="93">
      <x:c r="A93" s="14" t="str">
        <x:v>Southern</x:v>
      </x:c>
      <x:c r="B93" s="14" t="str">
        <x:v>Kazungula</x:v>
      </x:c>
      <x:c r="C93" s="14" t="str">
        <x:v>Kazungula</x:v>
      </x:c>
      <x:c r="D93" s="16" t="n">
        <x:v>-17.066</x:v>
      </x:c>
      <x:c r="E93" s="16" t="n">
        <x:v>25.687</x:v>
      </x:c>
      <x:c r="F93" s="14" t="str">
        <x:f>TEXT(D93,"0.000000")&amp;", "&amp;TEXT(E93,"0.000000")</x:f>
        <x:v>-17.066000, 25.687000</x:v>
      </x:c>
      <x:c r="G93" s="14" t="str">
        <x:f>"https://www.google.com/maps?q="&amp;TEXT(D93,"0.000000")&amp;","&amp;TEXT(E93,"0.000000")</x:f>
        <x:v>https://www.google.com/maps?q=-17.066000,25.687000</x:v>
      </x:c>
      <x:c r="H93" s="14" t="str">
        <x:v>WGS 84 / EPSG:4326</x:v>
      </x:c>
      <x:c r="I93" s="14" t="str">
        <x:v>District reference centroid</x:v>
      </x:c>
      <x:c r="J93" s="14" t="str">
        <x:v>Reference only—field verification recommended</x:v>
      </x:c>
      <x:c r="K93" s="14" t="str">
        <x:v>This is a district-level reference point, not a confirmed civic-centre or council-office entrance.</x:v>
      </x:c>
      <x:c r="L93" s="14" t="str">
        <x:v>https://github.com/repoxbeta/repox-countries/tree/main/src/metadata/countries/zm</x:v>
      </x:c>
    </x:row>
    <x:row r="94">
      <x:c r="A94" s="14" t="str">
        <x:v>Southern</x:v>
      </x:c>
      <x:c r="B94" s="14" t="str">
        <x:v>Livingstone</x:v>
      </x:c>
      <x:c r="C94" s="14" t="str">
        <x:v>Livingstone</x:v>
      </x:c>
      <x:c r="D94" s="16" t="n">
        <x:v>-17.8419</x:v>
      </x:c>
      <x:c r="E94" s="16" t="n">
        <x:v>25.8542</x:v>
      </x:c>
      <x:c r="F94" s="14" t="str">
        <x:f>TEXT(D94,"0.000000")&amp;", "&amp;TEXT(E94,"0.000000")</x:f>
        <x:v>-17.841900, 25.854200</x:v>
      </x:c>
      <x:c r="G94" s="14" t="str">
        <x:f>"https://www.google.com/maps?q="&amp;TEXT(D94,"0.000000")&amp;","&amp;TEXT(E94,"0.000000")</x:f>
        <x:v>https://www.google.com/maps?q=-17.841900,25.854200</x:v>
      </x:c>
      <x:c r="H94" s="14" t="str">
        <x:v>WGS 84 / EPSG:4326</x:v>
      </x:c>
      <x:c r="I94" s="14" t="str">
        <x:v>Town/administrative-centre point</x:v>
      </x:c>
      <x:c r="J94" s="14" t="str">
        <x:v>Gazetteer/reference point; not a building entrance</x:v>
      </x:c>
      <x:c r="K94" s="14" t="str"/>
      <x:c r="L94" s="14" t="str">
        <x:v>https://download.geonames.org/export/dump/</x:v>
      </x:c>
    </x:row>
    <x:row r="95">
      <x:c r="A95" s="14" t="str">
        <x:v>Southern</x:v>
      </x:c>
      <x:c r="B95" s="14" t="str">
        <x:v>Mazabuka</x:v>
      </x:c>
      <x:c r="C95" s="14" t="str">
        <x:v>Mazabuka</x:v>
      </x:c>
      <x:c r="D95" s="16" t="n">
        <x:v>-15.856</x:v>
      </x:c>
      <x:c r="E95" s="16" t="n">
        <x:v>27.748</x:v>
      </x:c>
      <x:c r="F95" s="14" t="str">
        <x:f>TEXT(D95,"0.000000")&amp;", "&amp;TEXT(E95,"0.000000")</x:f>
        <x:v>-15.856000, 27.748000</x:v>
      </x:c>
      <x:c r="G95" s="14" t="str">
        <x:f>"https://www.google.com/maps?q="&amp;TEXT(D95,"0.000000")&amp;","&amp;TEXT(E95,"0.000000")</x:f>
        <x:v>https://www.google.com/maps?q=-15.856000,27.748000</x:v>
      </x:c>
      <x:c r="H95" s="14" t="str">
        <x:v>WGS 84 / EPSG:4326</x:v>
      </x:c>
      <x:c r="I95" s="14" t="str">
        <x:v>Town/administrative-centre point</x:v>
      </x:c>
      <x:c r="J95" s="14" t="str">
        <x:v>Gazetteer/reference point; not a building entrance</x:v>
      </x:c>
      <x:c r="K95" s="14" t="str"/>
      <x:c r="L95" s="14" t="str">
        <x:v>https://download.geonames.org/export/dump/</x:v>
      </x:c>
    </x:row>
    <x:row r="96">
      <x:c r="A96" s="14" t="str">
        <x:v>Southern</x:v>
      </x:c>
      <x:c r="B96" s="14" t="str">
        <x:v>Monze</x:v>
      </x:c>
      <x:c r="C96" s="14" t="str">
        <x:v>Monze</x:v>
      </x:c>
      <x:c r="D96" s="16" t="n">
        <x:v>-16.2833</x:v>
      </x:c>
      <x:c r="E96" s="16" t="n">
        <x:v>27.4833</x:v>
      </x:c>
      <x:c r="F96" s="14" t="str">
        <x:f>TEXT(D96,"0.000000")&amp;", "&amp;TEXT(E96,"0.000000")</x:f>
        <x:v>-16.283300, 27.483300</x:v>
      </x:c>
      <x:c r="G96" s="14" t="str">
        <x:f>"https://www.google.com/maps?q="&amp;TEXT(D96,"0.000000")&amp;","&amp;TEXT(E96,"0.000000")</x:f>
        <x:v>https://www.google.com/maps?q=-16.283300,27.483300</x:v>
      </x:c>
      <x:c r="H96" s="14" t="str">
        <x:v>WGS 84 / EPSG:4326</x:v>
      </x:c>
      <x:c r="I96" s="14" t="str">
        <x:v>Town/administrative-centre point</x:v>
      </x:c>
      <x:c r="J96" s="14" t="str">
        <x:v>Gazetteer/reference point; not a building entrance</x:v>
      </x:c>
      <x:c r="K96" s="14" t="str"/>
      <x:c r="L96" s="14" t="str">
        <x:v>https://download.geonames.org/export/dump/</x:v>
      </x:c>
    </x:row>
    <x:row r="97">
      <x:c r="A97" s="14" t="str">
        <x:v>Southern</x:v>
      </x:c>
      <x:c r="B97" s="14" t="str">
        <x:v>Namwala</x:v>
      </x:c>
      <x:c r="C97" s="14" t="str">
        <x:v>Namwala</x:v>
      </x:c>
      <x:c r="D97" s="16" t="n">
        <x:v>-15.91068</x:v>
      </x:c>
      <x:c r="E97" s="16" t="n">
        <x:v>26.76462</x:v>
      </x:c>
      <x:c r="F97" s="14" t="str">
        <x:f>TEXT(D97,"0.000000")&amp;", "&amp;TEXT(E97,"0.000000")</x:f>
        <x:v>-15.910680, 26.764620</x:v>
      </x:c>
      <x:c r="G97" s="14" t="str">
        <x:f>"https://www.google.com/maps?q="&amp;TEXT(D97,"0.000000")&amp;","&amp;TEXT(E97,"0.000000")</x:f>
        <x:v>https://www.google.com/maps?q=-15.910680,26.764620</x:v>
      </x:c>
      <x:c r="H97" s="14" t="str">
        <x:v>WGS 84 / EPSG:4326</x:v>
      </x:c>
      <x:c r="I97" s="14" t="str">
        <x:v>District reference centroid</x:v>
      </x:c>
      <x:c r="J97" s="14" t="str">
        <x:v>Reference only—field verification recommended</x:v>
      </x:c>
      <x:c r="K97" s="14" t="str">
        <x:v>This is a district-level reference point, not a confirmed civic-centre or council-office entrance.</x:v>
      </x:c>
      <x:c r="L97" s="14" t="str">
        <x:v>https://github.com/repoxbeta/repox-countries/tree/main/src/metadata/countries/zm</x:v>
      </x:c>
    </x:row>
    <x:row r="98">
      <x:c r="A98" s="14" t="str">
        <x:v>Southern</x:v>
      </x:c>
      <x:c r="B98" s="14" t="str">
        <x:v>Pemba</x:v>
      </x:c>
      <x:c r="C98" s="14" t="str">
        <x:v>Pemba</x:v>
      </x:c>
      <x:c r="D98" s="16" t="n">
        <x:v>-16.67265</x:v>
      </x:c>
      <x:c r="E98" s="16" t="n">
        <x:v>27.38679</x:v>
      </x:c>
      <x:c r="F98" s="14" t="str">
        <x:f>TEXT(D98,"0.000000")&amp;", "&amp;TEXT(E98,"0.000000")</x:f>
        <x:v>-16.672650, 27.386790</x:v>
      </x:c>
      <x:c r="G98" s="14" t="str">
        <x:f>"https://www.google.com/maps?q="&amp;TEXT(D98,"0.000000")&amp;","&amp;TEXT(E98,"0.000000")</x:f>
        <x:v>https://www.google.com/maps?q=-16.672650,27.386790</x:v>
      </x:c>
      <x:c r="H98" s="14" t="str">
        <x:v>WGS 84 / EPSG:4326</x:v>
      </x:c>
      <x:c r="I98" s="14" t="str">
        <x:v>District reference centroid</x:v>
      </x:c>
      <x:c r="J98" s="14" t="str">
        <x:v>Reference only—field verification recommended</x:v>
      </x:c>
      <x:c r="K98" s="14" t="str">
        <x:v>This is a district-level reference point, not a confirmed civic-centre or council-office entrance.</x:v>
      </x:c>
      <x:c r="L98" s="14" t="str">
        <x:v>https://github.com/repoxbeta/repox-countries/tree/main/src/metadata/countries/zm</x:v>
      </x:c>
    </x:row>
    <x:row r="99">
      <x:c r="A99" s="14" t="str">
        <x:v>Southern</x:v>
      </x:c>
      <x:c r="B99" s="14" t="str">
        <x:v>Siavonga</x:v>
      </x:c>
      <x:c r="C99" s="14" t="str">
        <x:v>Siavonga</x:v>
      </x:c>
      <x:c r="D99" s="16" t="n">
        <x:v>-16.5382</x:v>
      </x:c>
      <x:c r="E99" s="16" t="n">
        <x:v>28.7088</x:v>
      </x:c>
      <x:c r="F99" s="14" t="str">
        <x:f>TEXT(D99,"0.000000")&amp;", "&amp;TEXT(E99,"0.000000")</x:f>
        <x:v>-16.538200, 28.708800</x:v>
      </x:c>
      <x:c r="G99" s="14" t="str">
        <x:f>"https://www.google.com/maps?q="&amp;TEXT(D99,"0.000000")&amp;","&amp;TEXT(E99,"0.000000")</x:f>
        <x:v>https://www.google.com/maps?q=-16.538200,28.708800</x:v>
      </x:c>
      <x:c r="H99" s="14" t="str">
        <x:v>WGS 84 / EPSG:4326</x:v>
      </x:c>
      <x:c r="I99" s="14" t="str">
        <x:v>Town/administrative-centre point</x:v>
      </x:c>
      <x:c r="J99" s="14" t="str">
        <x:v>Gazetteer/reference point; not a building entrance</x:v>
      </x:c>
      <x:c r="K99" s="14" t="str"/>
      <x:c r="L99" s="14" t="str">
        <x:v>https://download.geonames.org/export/dump/</x:v>
      </x:c>
    </x:row>
    <x:row r="100">
      <x:c r="A100" s="14" t="str">
        <x:v>Southern</x:v>
      </x:c>
      <x:c r="B100" s="14" t="str">
        <x:v>Sinazongwe</x:v>
      </x:c>
      <x:c r="C100" s="14" t="str">
        <x:v>Sinazongwe</x:v>
      </x:c>
      <x:c r="D100" s="16" t="n">
        <x:v>-17.2614</x:v>
      </x:c>
      <x:c r="E100" s="16" t="n">
        <x:v>27.4618</x:v>
      </x:c>
      <x:c r="F100" s="14" t="str">
        <x:f>TEXT(D100,"0.000000")&amp;", "&amp;TEXT(E100,"0.000000")</x:f>
        <x:v>-17.261400, 27.461800</x:v>
      </x:c>
      <x:c r="G100" s="14" t="str">
        <x:f>"https://www.google.com/maps?q="&amp;TEXT(D100,"0.000000")&amp;","&amp;TEXT(E100,"0.000000")</x:f>
        <x:v>https://www.google.com/maps?q=-17.261400,27.461800</x:v>
      </x:c>
      <x:c r="H100" s="14" t="str">
        <x:v>WGS 84 / EPSG:4326</x:v>
      </x:c>
      <x:c r="I100" s="14" t="str">
        <x:v>Town/administrative-centre point</x:v>
      </x:c>
      <x:c r="J100" s="14" t="str">
        <x:v>Gazetteer/reference point; not a building entrance</x:v>
      </x:c>
      <x:c r="K100" s="14" t="str"/>
      <x:c r="L100" s="14" t="str">
        <x:v>https://download.geonames.org/export/dump/</x:v>
      </x:c>
    </x:row>
    <x:row r="101">
      <x:c r="A101" s="14" t="str">
        <x:v>Southern</x:v>
      </x:c>
      <x:c r="B101" s="14" t="str">
        <x:v>Zimba</x:v>
      </x:c>
      <x:c r="C101" s="14" t="str">
        <x:v>Zimba</x:v>
      </x:c>
      <x:c r="D101" s="16" t="n">
        <x:v>-17.61733</x:v>
      </x:c>
      <x:c r="E101" s="16" t="n">
        <x:v>26.54468</x:v>
      </x:c>
      <x:c r="F101" s="14" t="str">
        <x:f>TEXT(D101,"0.000000")&amp;", "&amp;TEXT(E101,"0.000000")</x:f>
        <x:v>-17.617330, 26.544680</x:v>
      </x:c>
      <x:c r="G101" s="14" t="str">
        <x:f>"https://www.google.com/maps?q="&amp;TEXT(D101,"0.000000")&amp;","&amp;TEXT(E101,"0.000000")</x:f>
        <x:v>https://www.google.com/maps?q=-17.617330,26.544680</x:v>
      </x:c>
      <x:c r="H101" s="14" t="str">
        <x:v>WGS 84 / EPSG:4326</x:v>
      </x:c>
      <x:c r="I101" s="14" t="str">
        <x:v>District reference centroid</x:v>
      </x:c>
      <x:c r="J101" s="14" t="str">
        <x:v>Reference only—field verification recommended</x:v>
      </x:c>
      <x:c r="K101" s="14" t="str">
        <x:v>This is a district-level reference point, not a confirmed civic-centre or council-office entrance.</x:v>
      </x:c>
      <x:c r="L101" s="14" t="str">
        <x:v>https://github.com/repoxbeta/repox-countries/tree/main/src/metadata/countries/zm</x:v>
      </x:c>
    </x:row>
    <x:row r="102">
      <x:c r="A102" s="14" t="str">
        <x:v>Western</x:v>
      </x:c>
      <x:c r="B102" s="14" t="str">
        <x:v>Kalabo</x:v>
      </x:c>
      <x:c r="C102" s="14" t="str">
        <x:v>Kalabo</x:v>
      </x:c>
      <x:c r="D102" s="16" t="n">
        <x:v>-14.9931</x:v>
      </x:c>
      <x:c r="E102" s="16" t="n">
        <x:v>22.6793</x:v>
      </x:c>
      <x:c r="F102" s="14" t="str">
        <x:f>TEXT(D102,"0.000000")&amp;", "&amp;TEXT(E102,"0.000000")</x:f>
        <x:v>-14.993100, 22.679300</x:v>
      </x:c>
      <x:c r="G102" s="14" t="str">
        <x:f>"https://www.google.com/maps?q="&amp;TEXT(D102,"0.000000")&amp;","&amp;TEXT(E102,"0.000000")</x:f>
        <x:v>https://www.google.com/maps?q=-14.993100,22.679300</x:v>
      </x:c>
      <x:c r="H102" s="14" t="str">
        <x:v>WGS 84 / EPSG:4326</x:v>
      </x:c>
      <x:c r="I102" s="14" t="str">
        <x:v>Town/administrative-centre point</x:v>
      </x:c>
      <x:c r="J102" s="14" t="str">
        <x:v>Gazetteer/reference point; not a building entrance</x:v>
      </x:c>
      <x:c r="K102" s="14" t="str"/>
      <x:c r="L102" s="14" t="str">
        <x:v>https://download.geonames.org/export/dump/</x:v>
      </x:c>
    </x:row>
    <x:row r="103">
      <x:c r="A103" s="14" t="str">
        <x:v>Western</x:v>
      </x:c>
      <x:c r="B103" s="14" t="str">
        <x:v>Kaoma</x:v>
      </x:c>
      <x:c r="C103" s="14" t="str">
        <x:v>Kaoma</x:v>
      </x:c>
      <x:c r="D103" s="16" t="n">
        <x:v>-14.7833</x:v>
      </x:c>
      <x:c r="E103" s="16" t="n">
        <x:v>24.8</x:v>
      </x:c>
      <x:c r="F103" s="14" t="str">
        <x:f>TEXT(D103,"0.000000")&amp;", "&amp;TEXT(E103,"0.000000")</x:f>
        <x:v>-14.783300, 24.800000</x:v>
      </x:c>
      <x:c r="G103" s="14" t="str">
        <x:f>"https://www.google.com/maps?q="&amp;TEXT(D103,"0.000000")&amp;","&amp;TEXT(E103,"0.000000")</x:f>
        <x:v>https://www.google.com/maps?q=-14.783300,24.800000</x:v>
      </x:c>
      <x:c r="H103" s="14" t="str">
        <x:v>WGS 84 / EPSG:4326</x:v>
      </x:c>
      <x:c r="I103" s="14" t="str">
        <x:v>Town/administrative-centre point</x:v>
      </x:c>
      <x:c r="J103" s="14" t="str">
        <x:v>Gazetteer/reference point; not a building entrance</x:v>
      </x:c>
      <x:c r="K103" s="14" t="str"/>
      <x:c r="L103" s="14" t="str">
        <x:v>https://download.geonames.org/export/dump/</x:v>
      </x:c>
    </x:row>
    <x:row r="104">
      <x:c r="A104" s="14" t="str">
        <x:v>Western</x:v>
      </x:c>
      <x:c r="B104" s="14" t="str">
        <x:v>Limulunga</x:v>
      </x:c>
      <x:c r="C104" s="14" t="str">
        <x:v>Limulunga</x:v>
      </x:c>
      <x:c r="D104" s="16" t="n">
        <x:v>-15.0969</x:v>
      </x:c>
      <x:c r="E104" s="16" t="n">
        <x:v>23.1376</x:v>
      </x:c>
      <x:c r="F104" s="14" t="str">
        <x:f>TEXT(D104,"0.000000")&amp;", "&amp;TEXT(E104,"0.000000")</x:f>
        <x:v>-15.096900, 23.137600</x:v>
      </x:c>
      <x:c r="G104" s="14" t="str">
        <x:f>"https://www.google.com/maps?q="&amp;TEXT(D104,"0.000000")&amp;","&amp;TEXT(E104,"0.000000")</x:f>
        <x:v>https://www.google.com/maps?q=-15.096900,23.137600</x:v>
      </x:c>
      <x:c r="H104" s="14" t="str">
        <x:v>WGS 84 / EPSG:4326</x:v>
      </x:c>
      <x:c r="I104" s="14" t="str">
        <x:v>Town/administrative-centre point</x:v>
      </x:c>
      <x:c r="J104" s="14" t="str">
        <x:v>Gazetteer/reference point; not a building entrance</x:v>
      </x:c>
      <x:c r="K104" s="14" t="str"/>
      <x:c r="L104" s="14" t="str">
        <x:v>https://download.geonames.org/export/dump/</x:v>
      </x:c>
    </x:row>
    <x:row r="105">
      <x:c r="A105" s="14" t="str">
        <x:v>Western</x:v>
      </x:c>
      <x:c r="B105" s="14" t="str">
        <x:v>Luampa</x:v>
      </x:c>
      <x:c r="C105" s="14" t="str">
        <x:v>Luampa</x:v>
      </x:c>
      <x:c r="D105" s="16" t="n">
        <x:v>-15.29072</x:v>
      </x:c>
      <x:c r="E105" s="16" t="n">
        <x:v>24.74439</x:v>
      </x:c>
      <x:c r="F105" s="14" t="str">
        <x:f>TEXT(D105,"0.000000")&amp;", "&amp;TEXT(E105,"0.000000")</x:f>
        <x:v>-15.290720, 24.744390</x:v>
      </x:c>
      <x:c r="G105" s="14" t="str">
        <x:f>"https://www.google.com/maps?q="&amp;TEXT(D105,"0.000000")&amp;","&amp;TEXT(E105,"0.000000")</x:f>
        <x:v>https://www.google.com/maps?q=-15.290720,24.744390</x:v>
      </x:c>
      <x:c r="H105" s="14" t="str">
        <x:v>WGS 84 / EPSG:4326</x:v>
      </x:c>
      <x:c r="I105" s="14" t="str">
        <x:v>District reference centroid</x:v>
      </x:c>
      <x:c r="J105" s="14" t="str">
        <x:v>Reference only—field verification recommended</x:v>
      </x:c>
      <x:c r="K105" s="14" t="str">
        <x:v>This is a district-level reference point, not a confirmed civic-centre or council-office entrance.</x:v>
      </x:c>
      <x:c r="L105" s="14" t="str">
        <x:v>https://github.com/repoxbeta/repox-countries/tree/main/src/metadata/countries/zm</x:v>
      </x:c>
    </x:row>
    <x:row r="106">
      <x:c r="A106" s="14" t="str">
        <x:v>Western</x:v>
      </x:c>
      <x:c r="B106" s="14" t="str">
        <x:v>Lukulu</x:v>
      </x:c>
      <x:c r="C106" s="14" t="str">
        <x:v>Lukulu</x:v>
      </x:c>
      <x:c r="D106" s="16" t="n">
        <x:v>-14.22997</x:v>
      </x:c>
      <x:c r="E106" s="16" t="n">
        <x:v>23.8294</x:v>
      </x:c>
      <x:c r="F106" s="14" t="str">
        <x:f>TEXT(D106,"0.000000")&amp;", "&amp;TEXT(E106,"0.000000")</x:f>
        <x:v>-14.229970, 23.829400</x:v>
      </x:c>
      <x:c r="G106" s="14" t="str">
        <x:f>"https://www.google.com/maps?q="&amp;TEXT(D106,"0.000000")&amp;","&amp;TEXT(E106,"0.000000")</x:f>
        <x:v>https://www.google.com/maps?q=-14.229970,23.829400</x:v>
      </x:c>
      <x:c r="H106" s="14" t="str">
        <x:v>WGS 84 / EPSG:4326</x:v>
      </x:c>
      <x:c r="I106" s="14" t="str">
        <x:v>District reference centroid</x:v>
      </x:c>
      <x:c r="J106" s="14" t="str">
        <x:v>Reference only—field verification recommended</x:v>
      </x:c>
      <x:c r="K106" s="14" t="str">
        <x:v>This is a district-level reference point, not a confirmed civic-centre or council-office entrance.</x:v>
      </x:c>
      <x:c r="L106" s="14" t="str">
        <x:v>https://github.com/repoxbeta/repox-countries/tree/main/src/metadata/countries/zm</x:v>
      </x:c>
    </x:row>
    <x:row r="107">
      <x:c r="A107" s="14" t="str">
        <x:v>Western</x:v>
      </x:c>
      <x:c r="B107" s="14" t="str">
        <x:v>Mitete</x:v>
      </x:c>
      <x:c r="C107" s="14" t="str">
        <x:v>Mitete</x:v>
      </x:c>
      <x:c r="D107" s="16" t="n">
        <x:v>-14.10042</x:v>
      </x:c>
      <x:c r="E107" s="16" t="n">
        <x:v>22.6472</x:v>
      </x:c>
      <x:c r="F107" s="14" t="str">
        <x:f>TEXT(D107,"0.000000")&amp;", "&amp;TEXT(E107,"0.000000")</x:f>
        <x:v>-14.100420, 22.647200</x:v>
      </x:c>
      <x:c r="G107" s="14" t="str">
        <x:f>"https://www.google.com/maps?q="&amp;TEXT(D107,"0.000000")&amp;","&amp;TEXT(E107,"0.000000")</x:f>
        <x:v>https://www.google.com/maps?q=-14.100420,22.647200</x:v>
      </x:c>
      <x:c r="H107" s="14" t="str">
        <x:v>WGS 84 / EPSG:4326</x:v>
      </x:c>
      <x:c r="I107" s="14" t="str">
        <x:v>District reference centroid</x:v>
      </x:c>
      <x:c r="J107" s="14" t="str">
        <x:v>Reference only—field verification recommended</x:v>
      </x:c>
      <x:c r="K107" s="14" t="str">
        <x:v>This is a district-level reference point, not a confirmed civic-centre or council-office entrance.</x:v>
      </x:c>
      <x:c r="L107" s="14" t="str">
        <x:v>https://github.com/repoxbeta/repox-countries/tree/main/src/metadata/countries/zm</x:v>
      </x:c>
    </x:row>
    <x:row r="108">
      <x:c r="A108" s="14" t="str">
        <x:v>Western</x:v>
      </x:c>
      <x:c r="B108" s="14" t="str">
        <x:v>Mongu</x:v>
      </x:c>
      <x:c r="C108" s="14" t="str">
        <x:v>Mongu</x:v>
      </x:c>
      <x:c r="D108" s="16" t="n">
        <x:v>-15.2484</x:v>
      </x:c>
      <x:c r="E108" s="16" t="n">
        <x:v>23.1274</x:v>
      </x:c>
      <x:c r="F108" s="14" t="str">
        <x:f>TEXT(D108,"0.000000")&amp;", "&amp;TEXT(E108,"0.000000")</x:f>
        <x:v>-15.248400, 23.127400</x:v>
      </x:c>
      <x:c r="G108" s="14" t="str">
        <x:f>"https://www.google.com/maps?q="&amp;TEXT(D108,"0.000000")&amp;","&amp;TEXT(E108,"0.000000")</x:f>
        <x:v>https://www.google.com/maps?q=-15.248400,23.127400</x:v>
      </x:c>
      <x:c r="H108" s="14" t="str">
        <x:v>WGS 84 / EPSG:4326</x:v>
      </x:c>
      <x:c r="I108" s="14" t="str">
        <x:v>Town/administrative-centre point</x:v>
      </x:c>
      <x:c r="J108" s="14" t="str">
        <x:v>Gazetteer/reference point; not a building entrance</x:v>
      </x:c>
      <x:c r="K108" s="14" t="str"/>
      <x:c r="L108" s="14" t="str">
        <x:v>https://download.geonames.org/export/dump/</x:v>
      </x:c>
    </x:row>
    <x:row r="109">
      <x:c r="A109" s="14" t="str">
        <x:v>Western</x:v>
      </x:c>
      <x:c r="B109" s="14" t="str">
        <x:v>Mulobezi</x:v>
      </x:c>
      <x:c r="C109" s="14" t="str">
        <x:v>Mulobezi</x:v>
      </x:c>
      <x:c r="D109" s="16" t="n">
        <x:v>-16.2138</x:v>
      </x:c>
      <x:c r="E109" s="16" t="n">
        <x:v>24.7201</x:v>
      </x:c>
      <x:c r="F109" s="14" t="str">
        <x:f>TEXT(D109,"0.000000")&amp;", "&amp;TEXT(E109,"0.000000")</x:f>
        <x:v>-16.213800, 24.720100</x:v>
      </x:c>
      <x:c r="G109" s="14" t="str">
        <x:f>"https://www.google.com/maps?q="&amp;TEXT(D109,"0.000000")&amp;","&amp;TEXT(E109,"0.000000")</x:f>
        <x:v>https://www.google.com/maps?q=-16.213800,24.720100</x:v>
      </x:c>
      <x:c r="H109" s="14" t="str">
        <x:v>WGS 84 / EPSG:4326</x:v>
      </x:c>
      <x:c r="I109" s="14" t="str">
        <x:v>District reference centroid</x:v>
      </x:c>
      <x:c r="J109" s="14" t="str">
        <x:v>Reference only—field verification recommended</x:v>
      </x:c>
      <x:c r="K109" s="14" t="str">
        <x:v>This is a district-level reference point, not a confirmed civic-centre or council-office entrance.</x:v>
      </x:c>
      <x:c r="L109" s="14" t="str">
        <x:v>https://github.com/repoxbeta/repox-countries/tree/main/src/metadata/countries/zm</x:v>
      </x:c>
    </x:row>
    <x:row r="110">
      <x:c r="A110" s="14" t="str">
        <x:v>Western</x:v>
      </x:c>
      <x:c r="B110" s="14" t="str">
        <x:v>Mwandi</x:v>
      </x:c>
      <x:c r="C110" s="14" t="str">
        <x:v>Mwandi</x:v>
      </x:c>
      <x:c r="D110" s="16" t="n">
        <x:v>-17.09101</x:v>
      </x:c>
      <x:c r="E110" s="16" t="n">
        <x:v>24.63103</x:v>
      </x:c>
      <x:c r="F110" s="14" t="str">
        <x:f>TEXT(D110,"0.000000")&amp;", "&amp;TEXT(E110,"0.000000")</x:f>
        <x:v>-17.091010, 24.631030</x:v>
      </x:c>
      <x:c r="G110" s="14" t="str">
        <x:f>"https://www.google.com/maps?q="&amp;TEXT(D110,"0.000000")&amp;","&amp;TEXT(E110,"0.000000")</x:f>
        <x:v>https://www.google.com/maps?q=-17.091010,24.631030</x:v>
      </x:c>
      <x:c r="H110" s="14" t="str">
        <x:v>WGS 84 / EPSG:4326</x:v>
      </x:c>
      <x:c r="I110" s="14" t="str">
        <x:v>District reference centroid</x:v>
      </x:c>
      <x:c r="J110" s="14" t="str">
        <x:v>Reference only—field verification recommended</x:v>
      </x:c>
      <x:c r="K110" s="14" t="str">
        <x:v>This is a district-level reference point, not a confirmed civic-centre or council-office entrance.</x:v>
      </x:c>
      <x:c r="L110" s="14" t="str">
        <x:v>https://github.com/repoxbeta/repox-countries/tree/main/src/metadata/countries/zm</x:v>
      </x:c>
    </x:row>
    <x:row r="111">
      <x:c r="A111" s="14" t="str">
        <x:v>Western</x:v>
      </x:c>
      <x:c r="B111" s="14" t="str">
        <x:v>Nalolo</x:v>
      </x:c>
      <x:c r="C111" s="14" t="str">
        <x:v>Nalolo</x:v>
      </x:c>
      <x:c r="D111" s="16" t="n">
        <x:v>-15.77385</x:v>
      </x:c>
      <x:c r="E111" s="16" t="n">
        <x:v>22.99538</x:v>
      </x:c>
      <x:c r="F111" s="14" t="str">
        <x:f>TEXT(D111,"0.000000")&amp;", "&amp;TEXT(E111,"0.000000")</x:f>
        <x:v>-15.773850, 22.995380</x:v>
      </x:c>
      <x:c r="G111" s="14" t="str">
        <x:f>"https://www.google.com/maps?q="&amp;TEXT(D111,"0.000000")&amp;","&amp;TEXT(E111,"0.000000")</x:f>
        <x:v>https://www.google.com/maps?q=-15.773850,22.995380</x:v>
      </x:c>
      <x:c r="H111" s="14" t="str">
        <x:v>WGS 84 / EPSG:4326</x:v>
      </x:c>
      <x:c r="I111" s="14" t="str">
        <x:v>District reference centroid</x:v>
      </x:c>
      <x:c r="J111" s="14" t="str">
        <x:v>Reference only—field verification recommended</x:v>
      </x:c>
      <x:c r="K111" s="14" t="str">
        <x:v>This is a district-level reference point, not a confirmed civic-centre or council-office entrance.</x:v>
      </x:c>
      <x:c r="L111" s="14" t="str">
        <x:v>https://github.com/repoxbeta/repox-countries/tree/main/src/metadata/countries/zm</x:v>
      </x:c>
    </x:row>
    <x:row r="112">
      <x:c r="A112" s="14" t="str">
        <x:v>Western</x:v>
      </x:c>
      <x:c r="B112" s="14" t="str">
        <x:v>Nkeyema</x:v>
      </x:c>
      <x:c r="C112" s="14" t="str">
        <x:v>Nkeyema</x:v>
      </x:c>
      <x:c r="D112" s="16" t="n">
        <x:v>-14.85076</x:v>
      </x:c>
      <x:c r="E112" s="16" t="n">
        <x:v>25.14925</x:v>
      </x:c>
      <x:c r="F112" s="14" t="str">
        <x:f>TEXT(D112,"0.000000")&amp;", "&amp;TEXT(E112,"0.000000")</x:f>
        <x:v>-14.850760, 25.149250</x:v>
      </x:c>
      <x:c r="G112" s="14" t="str">
        <x:f>"https://www.google.com/maps?q="&amp;TEXT(D112,"0.000000")&amp;","&amp;TEXT(E112,"0.000000")</x:f>
        <x:v>https://www.google.com/maps?q=-14.850760,25.149250</x:v>
      </x:c>
      <x:c r="H112" s="14" t="str">
        <x:v>WGS 84 / EPSG:4326</x:v>
      </x:c>
      <x:c r="I112" s="14" t="str">
        <x:v>District reference centroid</x:v>
      </x:c>
      <x:c r="J112" s="14" t="str">
        <x:v>Reference only—field verification recommended</x:v>
      </x:c>
      <x:c r="K112" s="14" t="str">
        <x:v>This is a district-level reference point, not a confirmed civic-centre or council-office entrance.</x:v>
      </x:c>
      <x:c r="L112" s="14" t="str">
        <x:v>https://github.com/repoxbeta/repox-countries/tree/main/src/metadata/countries/zm</x:v>
      </x:c>
    </x:row>
    <x:row r="113">
      <x:c r="A113" s="14" t="str">
        <x:v>Western</x:v>
      </x:c>
      <x:c r="B113" s="14" t="str">
        <x:v>Senanga</x:v>
      </x:c>
      <x:c r="C113" s="14" t="str">
        <x:v>Senanga</x:v>
      </x:c>
      <x:c r="D113" s="16" t="n">
        <x:v>-16.1167</x:v>
      </x:c>
      <x:c r="E113" s="16" t="n">
        <x:v>23.2667</x:v>
      </x:c>
      <x:c r="F113" s="14" t="str">
        <x:f>TEXT(D113,"0.000000")&amp;", "&amp;TEXT(E113,"0.000000")</x:f>
        <x:v>-16.116700, 23.266700</x:v>
      </x:c>
      <x:c r="G113" s="14" t="str">
        <x:f>"https://www.google.com/maps?q="&amp;TEXT(D113,"0.000000")&amp;","&amp;TEXT(E113,"0.000000")</x:f>
        <x:v>https://www.google.com/maps?q=-16.116700,23.266700</x:v>
      </x:c>
      <x:c r="H113" s="14" t="str">
        <x:v>WGS 84 / EPSG:4326</x:v>
      </x:c>
      <x:c r="I113" s="14" t="str">
        <x:v>Town/administrative-centre point</x:v>
      </x:c>
      <x:c r="J113" s="14" t="str">
        <x:v>Gazetteer/reference point; not a building entrance</x:v>
      </x:c>
      <x:c r="K113" s="14" t="str"/>
      <x:c r="L113" s="14" t="str">
        <x:v>https://download.geonames.org/export/dump/</x:v>
      </x:c>
    </x:row>
    <x:row r="114">
      <x:c r="A114" s="14" t="str">
        <x:v>Western</x:v>
      </x:c>
      <x:c r="B114" s="14" t="str">
        <x:v>Sesheke</x:v>
      </x:c>
      <x:c r="C114" s="14" t="str">
        <x:v>Sesheke</x:v>
      </x:c>
      <x:c r="D114" s="16" t="n">
        <x:v>-17.4759</x:v>
      </x:c>
      <x:c r="E114" s="16" t="n">
        <x:v>24.2968</x:v>
      </x:c>
      <x:c r="F114" s="14" t="str">
        <x:f>TEXT(D114,"0.000000")&amp;", "&amp;TEXT(E114,"0.000000")</x:f>
        <x:v>-17.475900, 24.296800</x:v>
      </x:c>
      <x:c r="G114" s="14" t="str">
        <x:f>"https://www.google.com/maps?q="&amp;TEXT(D114,"0.000000")&amp;","&amp;TEXT(E114,"0.000000")</x:f>
        <x:v>https://www.google.com/maps?q=-17.475900,24.296800</x:v>
      </x:c>
      <x:c r="H114" s="14" t="str">
        <x:v>WGS 84 / EPSG:4326</x:v>
      </x:c>
      <x:c r="I114" s="14" t="str">
        <x:v>Town/administrative-centre point</x:v>
      </x:c>
      <x:c r="J114" s="14" t="str">
        <x:v>Gazetteer/reference point; not a building entrance</x:v>
      </x:c>
      <x:c r="K114" s="14" t="str"/>
      <x:c r="L114" s="14" t="str">
        <x:v>https://download.geonames.org/export/dump/</x:v>
      </x:c>
    </x:row>
    <x:row r="115">
      <x:c r="A115" s="14" t="str">
        <x:v>Western</x:v>
      </x:c>
      <x:c r="B115" s="14" t="str">
        <x:v>Shang'ombo</x:v>
      </x:c>
      <x:c r="C115" s="14" t="str">
        <x:v>Shang'ombo</x:v>
      </x:c>
      <x:c r="D115" s="16" t="n">
        <x:v>-16.30827</x:v>
      </x:c>
      <x:c r="E115" s="16" t="n">
        <x:v>22.45556</x:v>
      </x:c>
      <x:c r="F115" s="14" t="str">
        <x:f>TEXT(D115,"0.000000")&amp;", "&amp;TEXT(E115,"0.000000")</x:f>
        <x:v>-16.308270, 22.455560</x:v>
      </x:c>
      <x:c r="G115" s="14" t="str">
        <x:f>"https://www.google.com/maps?q="&amp;TEXT(D115,"0.000000")&amp;","&amp;TEXT(E115,"0.000000")</x:f>
        <x:v>https://www.google.com/maps?q=-16.308270,22.455560</x:v>
      </x:c>
      <x:c r="H115" s="14" t="str">
        <x:v>WGS 84 / EPSG:4326</x:v>
      </x:c>
      <x:c r="I115" s="14" t="str">
        <x:v>District reference centroid</x:v>
      </x:c>
      <x:c r="J115" s="14" t="str">
        <x:v>Reference only—field verification recommended</x:v>
      </x:c>
      <x:c r="K115" s="14" t="str">
        <x:v>This is a district-level reference point, not a confirmed civic-centre or council-office entrance.</x:v>
      </x:c>
      <x:c r="L115" s="14" t="str">
        <x:v>https://github.com/repoxbeta/repox-countries/tree/main/src/metadata/countries/zm</x:v>
      </x:c>
    </x:row>
    <x:row r="116">
      <x:c r="A116" s="14" t="str">
        <x:v>Western</x:v>
      </x:c>
      <x:c r="B116" s="14" t="str">
        <x:v>Sikongo</x:v>
      </x:c>
      <x:c r="C116" s="14" t="str">
        <x:v>Sikongo</x:v>
      </x:c>
      <x:c r="D116" s="16" t="n">
        <x:v>-15.23673</x:v>
      </x:c>
      <x:c r="E116" s="16" t="n">
        <x:v>22.17756</x:v>
      </x:c>
      <x:c r="F116" s="14" t="str">
        <x:f>TEXT(D116,"0.000000")&amp;", "&amp;TEXT(E116,"0.000000")</x:f>
        <x:v>-15.236730, 22.177560</x:v>
      </x:c>
      <x:c r="G116" s="14" t="str">
        <x:f>"https://www.google.com/maps?q="&amp;TEXT(D116,"0.000000")&amp;","&amp;TEXT(E116,"0.000000")</x:f>
        <x:v>https://www.google.com/maps?q=-15.236730,22.177560</x:v>
      </x:c>
      <x:c r="H116" s="14" t="str">
        <x:v>WGS 84 / EPSG:4326</x:v>
      </x:c>
      <x:c r="I116" s="14" t="str">
        <x:v>District reference centroid</x:v>
      </x:c>
      <x:c r="J116" s="14" t="str">
        <x:v>Reference only—field verification recommended</x:v>
      </x:c>
      <x:c r="K116" s="14" t="str">
        <x:v>This is a district-level reference point, not a confirmed civic-centre or council-office entrance.</x:v>
      </x:c>
      <x:c r="L116" s="14" t="str">
        <x:v>https://github.com/repoxbeta/repox-countries/tree/main/src/metadata/countries/zm</x:v>
      </x:c>
    </x:row>
    <x:row r="117">
      <x:c r="A117" s="14" t="str">
        <x:v>Western</x:v>
      </x:c>
      <x:c r="B117" s="14" t="str">
        <x:v>Sioma</x:v>
      </x:c>
      <x:c r="C117" s="14" t="str">
        <x:v>Sioma</x:v>
      </x:c>
      <x:c r="D117" s="16" t="n">
        <x:v>-16.75362</x:v>
      </x:c>
      <x:c r="E117" s="16" t="n">
        <x:v>23.2221</x:v>
      </x:c>
      <x:c r="F117" s="14" t="str">
        <x:f>TEXT(D117,"0.000000")&amp;", "&amp;TEXT(E117,"0.000000")</x:f>
        <x:v>-16.753620, 23.222100</x:v>
      </x:c>
      <x:c r="G117" s="14" t="str">
        <x:f>"https://www.google.com/maps?q="&amp;TEXT(D117,"0.000000")&amp;","&amp;TEXT(E117,"0.000000")</x:f>
        <x:v>https://www.google.com/maps?q=-16.753620,23.222100</x:v>
      </x:c>
      <x:c r="H117" s="14" t="str">
        <x:v>WGS 84 / EPSG:4326</x:v>
      </x:c>
      <x:c r="I117" s="14" t="str">
        <x:v>District reference centroid</x:v>
      </x:c>
      <x:c r="J117" s="14" t="str">
        <x:v>Reference only—field verification recommended</x:v>
      </x:c>
      <x:c r="K117" s="14" t="str">
        <x:v>This is a district-level reference point, not a confirmed civic-centre or council-office entrance.</x:v>
      </x:c>
      <x:c r="L117" s="14" t="str">
        <x:v>https://github.com/repoxbeta/repox-countries/tree/main/src/metadata/countries/zm</x:v>
      </x:c>
    </x:row>
  </x:sheetData>
  <x:conditionalFormatting sqref="I2:I117">
    <x:cfRule type="expression" dxfId="0" priority="1">
      <x:formula>I2="District reference centroid"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80d067eecc49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6" t="str">
        <x:v>Province</x:v>
      </x:c>
      <x:c r="B1" s="6" t="str">
        <x:v>Number of Districts</x:v>
      </x:c>
      <x:c r="C1" s="6" t="str">
        <x:v>Town/Admin Points</x:v>
      </x:c>
      <x:c r="D1" s="6" t="str">
        <x:v>Reference Centroids</x:v>
      </x:c>
    </x:row>
    <x:row r="2">
      <x:c r="A2" t="str">
        <x:v>Central</x:v>
      </x:c>
      <x:c r="B2" s="18" t="n">
        <x:f>COUNTIF('District Coordinates'!$A$2:$A$117,A2)</x:f>
        <x:v>11</x:v>
      </x:c>
      <x:c r="C2" s="18" t="n">
        <x:f>COUNTIFS('District Coordinates'!$A$2:$A$117,A2,'District Coordinates'!$I$2:$I$117,"&lt;&gt;District reference centroid")</x:f>
        <x:v>5</x:v>
      </x:c>
      <x:c r="D2" s="18" t="n">
        <x:f>COUNTIFS('District Coordinates'!$A$2:$A$117,A2,'District Coordinates'!$I$2:$I$117,"District reference centroid")</x:f>
        <x:v>6</x:v>
      </x:c>
    </x:row>
    <x:row r="3">
      <x:c r="A3" t="str">
        <x:v>Copperbelt</x:v>
      </x:c>
      <x:c r="B3" s="18" t="n">
        <x:f>COUNTIF('District Coordinates'!$A$2:$A$117,A3)</x:f>
        <x:v>10</x:v>
      </x:c>
      <x:c r="C3" s="18" t="n">
        <x:f>COUNTIFS('District Coordinates'!$A$2:$A$117,A3,'District Coordinates'!$I$2:$I$117,"&lt;&gt;District reference centroid")</x:f>
        <x:v>8</x:v>
      </x:c>
      <x:c r="D3" s="18" t="n">
        <x:f>COUNTIFS('District Coordinates'!$A$2:$A$117,A3,'District Coordinates'!$I$2:$I$117,"District reference centroid")</x:f>
        <x:v>2</x:v>
      </x:c>
    </x:row>
    <x:row r="4">
      <x:c r="A4" t="str">
        <x:v>Eastern</x:v>
      </x:c>
      <x:c r="B4" s="18" t="n">
        <x:f>COUNTIF('District Coordinates'!$A$2:$A$117,A4)</x:f>
        <x:v>15</x:v>
      </x:c>
      <x:c r="C4" s="18" t="n">
        <x:f>COUNTIFS('District Coordinates'!$A$2:$A$117,A4,'District Coordinates'!$I$2:$I$117,"&lt;&gt;District reference centroid")</x:f>
        <x:v>7</x:v>
      </x:c>
      <x:c r="D4" s="18" t="n">
        <x:f>COUNTIFS('District Coordinates'!$A$2:$A$117,A4,'District Coordinates'!$I$2:$I$117,"District reference centroid")</x:f>
        <x:v>8</x:v>
      </x:c>
    </x:row>
    <x:row r="5">
      <x:c r="A5" t="str">
        <x:v>Luapula</x:v>
      </x:c>
      <x:c r="B5" s="18" t="n">
        <x:f>COUNTIF('District Coordinates'!$A$2:$A$117,A5)</x:f>
        <x:v>12</x:v>
      </x:c>
      <x:c r="C5" s="18" t="n">
        <x:f>COUNTIFS('District Coordinates'!$A$2:$A$117,A5,'District Coordinates'!$I$2:$I$117,"&lt;&gt;District reference centroid")</x:f>
        <x:v>5</x:v>
      </x:c>
      <x:c r="D5" s="18" t="n">
        <x:f>COUNTIFS('District Coordinates'!$A$2:$A$117,A5,'District Coordinates'!$I$2:$I$117,"District reference centroid")</x:f>
        <x:v>7</x:v>
      </x:c>
    </x:row>
    <x:row r="6">
      <x:c r="A6" t="str">
        <x:v>Lusaka</x:v>
      </x:c>
      <x:c r="B6" s="18" t="n">
        <x:f>COUNTIF('District Coordinates'!$A$2:$A$117,A6)</x:f>
        <x:v>6</x:v>
      </x:c>
      <x:c r="C6" s="18" t="n">
        <x:f>COUNTIFS('District Coordinates'!$A$2:$A$117,A6,'District Coordinates'!$I$2:$I$117,"&lt;&gt;District reference centroid")</x:f>
        <x:v>3</x:v>
      </x:c>
      <x:c r="D6" s="18" t="n">
        <x:f>COUNTIFS('District Coordinates'!$A$2:$A$117,A6,'District Coordinates'!$I$2:$I$117,"District reference centroid")</x:f>
        <x:v>3</x:v>
      </x:c>
    </x:row>
    <x:row r="7">
      <x:c r="A7" t="str">
        <x:v>Muchinga</x:v>
      </x:c>
      <x:c r="B7" s="18" t="n">
        <x:f>COUNTIF('District Coordinates'!$A$2:$A$117,A7)</x:f>
        <x:v>8</x:v>
      </x:c>
      <x:c r="C7" s="18" t="n">
        <x:f>COUNTIFS('District Coordinates'!$A$2:$A$117,A7,'District Coordinates'!$I$2:$I$117,"&lt;&gt;District reference centroid")</x:f>
        <x:v>6</x:v>
      </x:c>
      <x:c r="D7" s="18" t="n">
        <x:f>COUNTIFS('District Coordinates'!$A$2:$A$117,A7,'District Coordinates'!$I$2:$I$117,"District reference centroid")</x:f>
        <x:v>2</x:v>
      </x:c>
    </x:row>
    <x:row r="8">
      <x:c r="A8" t="str">
        <x:v>Northern</x:v>
      </x:c>
      <x:c r="B8" s="18" t="n">
        <x:f>COUNTIF('District Coordinates'!$A$2:$A$117,A8)</x:f>
        <x:v>12</x:v>
      </x:c>
      <x:c r="C8" s="18" t="n">
        <x:f>COUNTIFS('District Coordinates'!$A$2:$A$117,A8,'District Coordinates'!$I$2:$I$117,"&lt;&gt;District reference centroid")</x:f>
        <x:v>8</x:v>
      </x:c>
      <x:c r="D8" s="18" t="n">
        <x:f>COUNTIFS('District Coordinates'!$A$2:$A$117,A8,'District Coordinates'!$I$2:$I$117,"District reference centroid")</x:f>
        <x:v>4</x:v>
      </x:c>
    </x:row>
    <x:row r="9">
      <x:c r="A9" t="str">
        <x:v>North-Western</x:v>
      </x:c>
      <x:c r="B9" s="18" t="n">
        <x:f>COUNTIF('District Coordinates'!$A$2:$A$117,A9)</x:f>
        <x:v>11</x:v>
      </x:c>
      <x:c r="C9" s="18" t="n">
        <x:f>COUNTIFS('District Coordinates'!$A$2:$A$117,A9,'District Coordinates'!$I$2:$I$117,"&lt;&gt;District reference centroid")</x:f>
        <x:v>8</x:v>
      </x:c>
      <x:c r="D9" s="18" t="n">
        <x:f>COUNTIFS('District Coordinates'!$A$2:$A$117,A9,'District Coordinates'!$I$2:$I$117,"District reference centroid")</x:f>
        <x:v>3</x:v>
      </x:c>
    </x:row>
    <x:row r="10">
      <x:c r="A10" t="str">
        <x:v>Southern</x:v>
      </x:c>
      <x:c r="B10" s="18" t="n">
        <x:f>COUNTIF('District Coordinates'!$A$2:$A$117,A10)</x:f>
        <x:v>15</x:v>
      </x:c>
      <x:c r="C10" s="18" t="n">
        <x:f>COUNTIFS('District Coordinates'!$A$2:$A$117,A10,'District Coordinates'!$I$2:$I$117,"&lt;&gt;District reference centroid")</x:f>
        <x:v>6</x:v>
      </x:c>
      <x:c r="D10" s="18" t="n">
        <x:f>COUNTIFS('District Coordinates'!$A$2:$A$117,A10,'District Coordinates'!$I$2:$I$117,"District reference centroid")</x:f>
        <x:v>9</x:v>
      </x:c>
    </x:row>
    <x:row r="11">
      <x:c r="A11" t="str">
        <x:v>Western</x:v>
      </x:c>
      <x:c r="B11" s="18" t="n">
        <x:f>COUNTIF('District Coordinates'!$A$2:$A$117,A11)</x:f>
        <x:v>16</x:v>
      </x:c>
      <x:c r="C11" s="18" t="n">
        <x:f>COUNTIFS('District Coordinates'!$A$2:$A$117,A11,'District Coordinates'!$I$2:$I$117,"&lt;&gt;District reference centroid")</x:f>
        <x:v>6</x:v>
      </x:c>
      <x:c r="D11" s="18" t="n">
        <x:f>COUNTIFS('District Coordinates'!$A$2:$A$117,A11,'District Coordinates'!$I$2:$I$117,"District reference centroid")</x:f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a2c8979997d04c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2" hidden="0" customWidth="1"/>
  </x:cols>
  <x:sheetData>
    <x:row r="1" ht="32" customHeight="1">
      <x:c r="A1" s="22" t="str">
        <x:v>Zambia District Administrative-Centre Coordinates</x:v>
      </x:c>
      <x:c r="B1" s="22" t="str"/>
    </x:row>
    <x:row r="2" ht="34" customHeight="1">
      <x:c r="A2" s="32" t="str">
        <x:v>Coverage</x:v>
      </x:c>
      <x:c r="B2" s="33" t="str">
        <x:v>116 districts across Zambia's 10 provinces.</x:v>
      </x:c>
    </x:row>
    <x:row r="3" ht="34" customHeight="1">
      <x:c r="A3" s="32" t="str">
        <x:v>Coordinate reference system</x:v>
      </x:c>
      <x:c r="B3" s="33" t="str">
        <x:v>WGS 84 geographic coordinates (EPSG:4326), decimal degrees.</x:v>
      </x:c>
    </x:row>
    <x:row r="4" ht="34" customHeight="1">
      <x:c r="A4" s="32" t="str">
        <x:v>Coordinate order</x:v>
      </x:c>
      <x:c r="B4" s="33" t="str">
        <x:v>Latitude first, longitude second. Southern latitudes are negative; eastern longitudes are positive.</x:v>
      </x:c>
    </x:row>
    <x:row r="5" ht="34" customHeight="1">
      <x:c r="A5" s="32" t="str">
        <x:v>Primary point type</x:v>
      </x:c>
      <x:c r="B5" s="33" t="str">
        <x:v>Town/administrative-centre point where a suitable gazetteer or council reference was available.</x:v>
      </x:c>
    </x:row>
    <x:row r="6" ht="34" customHeight="1">
      <x:c r="A6" s="32" t="str">
        <x:v>Fallback point type</x:v>
      </x:c>
      <x:c r="B6" s="33" t="str">
        <x:v>District reference centroid where a reliable boma/town point could not be confidently established.</x:v>
      </x:c>
    </x:row>
    <x:row r="7" ht="34" customHeight="1">
      <x:c r="A7" s="32" t="str">
        <x:v>Important limitation</x:v>
      </x:c>
      <x:c r="B7" s="33" t="str">
        <x:v>Reference centroids are not council-office entrances. Use the Point Type and Verification columns before navigation, routing, service-area or distance analysis.</x:v>
      </x:c>
    </x:row>
    <x:row r="8" ht="34" customHeight="1">
      <x:c r="A8" s="32" t="str">
        <x:v>Recommended GIS use</x:v>
      </x:c>
      <x:c r="B8" s="33" t="str">
        <x:v>Suitable as an initial national reference layer. Field-verify centroid rows and replace them with surveyed council/boma coordinates for operational systems.</x:v>
      </x:c>
    </x:row>
    <x:row r="9" ht="34" customHeight="1">
      <x:c r="A9" s="32" t="str">
        <x:v>Administrative validation</x:v>
      </x:c>
      <x:c r="B9" s="33" t="str">
        <x:v>https://grid3.org/spotlight/district-boundaries-harmonisation-in-zambia</x:v>
      </x:c>
    </x:row>
    <x:row r="10" ht="34" customHeight="1">
      <x:c r="A10" s="32" t="str">
        <x:v>Gazetteer source</x:v>
      </x:c>
      <x:c r="B10" s="33" t="str">
        <x:v>https://download.geonames.org/export/dump/</x:v>
      </x:c>
    </x:row>
    <x:row r="11" ht="34" customHeight="1">
      <x:c r="A11" s="32" t="str">
        <x:v>District reference source</x:v>
      </x:c>
      <x:c r="B11" s="33" t="str">
        <x:v>https://github.com/repoxbeta/repox-countries/tree/main/src/metadata/countries/zm</x:v>
      </x:c>
    </x:row>
    <x:row r="12" ht="34" customHeight="1">
      <x:c r="A12" s="32" t="str">
        <x:v>Eastern Province district validation</x:v>
      </x:c>
      <x:c r="B12" s="33" t="str">
        <x:v>https://www.lgazambia.org.zm/hub/provinces/eastern-province</x:v>
      </x:c>
    </x:row>
    <x:row r="13" ht="34" customHeight="1">
      <x:c r="A13" s="32" t="str">
        <x:v>Muchinga Province validation</x:v>
      </x:c>
      <x:c r="B13" s="33" t="str">
        <x:v>https://www.muc.gov.zm/</x:v>
      </x:c>
    </x:row>
    <x:row r="14" ht="34" customHeight="1">
      <x:c r="A14" s="32" t="str">
        <x:v>Lavushimanda administrative centre</x:v>
      </x:c>
      <x:c r="B14" s="33" t="str">
        <x:v>https://www.lavushimandacouncil.gov.zm/?page_id=118</x:v>
      </x:c>
    </x:row>
    <x:row r="15" ht="34" customHeight="1">
      <x:c r="A15" s="32" t="str">
        <x:v>Senga Hill administrative centre</x:v>
      </x:c>
      <x:c r="B15" s="33" t="str">
        <x:v>https://www.sengahillcouncil.gov.zm/?page_id=4078</x:v>
      </x:c>
    </x:row>
    <x:row r="16" ht="34" customHeight="1">
      <x:c r="A16" s="32" t="str">
        <x:v>Prepared</x:v>
      </x:c>
      <x:c r="B16" s="33" t="str">
        <x:v>23 July 2026</x:v>
      </x:c>
    </x:row>
  </x:sheetData>
  <x:mergeCells>
    <x:mergeCell ref="A1:B1"/>
  </x:mergeCells>
  <x:pageMargins left="0.7" right="0.7" top="0.75" bottom="0.75" header="0.3" footer="0.3"/>
</x:worksheet>
</file>